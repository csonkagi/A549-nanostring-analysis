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fdc3da793685bf/Documents/Somlyai/"/>
    </mc:Choice>
  </mc:AlternateContent>
  <xr:revisionPtr revIDLastSave="234" documentId="8_{583FF941-1682-488F-9B02-8AA140EEB412}" xr6:coauthVersionLast="47" xr6:coauthVersionMax="47" xr10:uidLastSave="{850D65BC-E5F5-4CD6-B7B7-84DF0DC39455}"/>
  <bookViews>
    <workbookView xWindow="1896" yWindow="3780" windowWidth="28728" windowHeight="8508" activeTab="1" xr2:uid="{24960365-12D4-4F98-8139-6ECC4EE22F38}"/>
  </bookViews>
  <sheets>
    <sheet name="Original Data" sheetId="2" r:id="rId1"/>
    <sheet name="Err" sheetId="11" r:id="rId2"/>
    <sheet name="Errors" sheetId="10" r:id="rId3"/>
  </sheets>
  <definedNames>
    <definedName name="_xlnm._FilterDatabase" localSheetId="2" hidden="1">Errors!$A$1:$M$241</definedName>
    <definedName name="_xlnm._FilterDatabase" localSheetId="0" hidden="1">'Original Data'!$A$1:$J$241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1" i="10" l="1"/>
  <c r="M240" i="10"/>
  <c r="M239" i="10"/>
  <c r="M238" i="10"/>
  <c r="M237" i="10"/>
  <c r="M236" i="10"/>
  <c r="M235" i="10"/>
  <c r="M234" i="10"/>
  <c r="M233" i="10"/>
  <c r="M232" i="10"/>
  <c r="M231" i="10"/>
  <c r="M230" i="10"/>
  <c r="M229" i="10"/>
  <c r="M228" i="10"/>
  <c r="M227" i="10"/>
  <c r="M226" i="10"/>
  <c r="M225" i="10"/>
  <c r="M224" i="10"/>
  <c r="M223" i="10"/>
  <c r="M222" i="10"/>
  <c r="M221" i="10"/>
  <c r="M220" i="10"/>
  <c r="M219" i="10"/>
  <c r="M218" i="10"/>
  <c r="M217" i="10"/>
  <c r="M216" i="10"/>
  <c r="M215" i="10"/>
  <c r="M214" i="10"/>
  <c r="M213" i="10"/>
  <c r="M212" i="10"/>
  <c r="M211" i="10"/>
  <c r="M210" i="10"/>
  <c r="M209" i="10"/>
  <c r="M208" i="10"/>
  <c r="M207" i="10"/>
  <c r="M206" i="10"/>
  <c r="M205" i="10"/>
  <c r="M204" i="10"/>
  <c r="M203" i="10"/>
  <c r="M202" i="10"/>
  <c r="M201" i="10"/>
  <c r="M200" i="10"/>
  <c r="M199" i="10"/>
  <c r="M198" i="10"/>
  <c r="M197" i="10"/>
  <c r="M196" i="10"/>
  <c r="M195" i="10"/>
  <c r="M194" i="10"/>
  <c r="M193" i="10"/>
  <c r="M192" i="10"/>
  <c r="M191" i="10"/>
  <c r="M190" i="10"/>
  <c r="M189" i="10"/>
  <c r="M188" i="10"/>
  <c r="M187" i="10"/>
  <c r="M186" i="10"/>
  <c r="M185" i="10"/>
  <c r="M184" i="10"/>
  <c r="M183" i="10"/>
  <c r="M182" i="10"/>
  <c r="M181" i="10"/>
  <c r="M180" i="10"/>
  <c r="M179" i="10"/>
  <c r="M178" i="10"/>
  <c r="M177" i="10"/>
  <c r="M176" i="10"/>
  <c r="M175" i="10"/>
  <c r="M174" i="10"/>
  <c r="M173" i="10"/>
  <c r="M172" i="10"/>
  <c r="M171" i="10"/>
  <c r="M170" i="10"/>
  <c r="M169" i="10"/>
  <c r="M168" i="10"/>
  <c r="M167" i="10"/>
  <c r="M166" i="10"/>
  <c r="M165" i="10"/>
  <c r="M164" i="10"/>
  <c r="M163" i="10"/>
  <c r="M162" i="10"/>
  <c r="M161" i="10"/>
  <c r="M160" i="10"/>
  <c r="M159" i="10"/>
  <c r="M158" i="10"/>
  <c r="M157" i="10"/>
  <c r="M156" i="10"/>
  <c r="M155" i="10"/>
  <c r="M154" i="10"/>
  <c r="M153" i="10"/>
  <c r="M152" i="10"/>
  <c r="M151" i="10"/>
  <c r="M150" i="10"/>
  <c r="M149" i="10"/>
  <c r="M148" i="10"/>
  <c r="M147" i="10"/>
  <c r="M146" i="10"/>
  <c r="M145" i="10"/>
  <c r="M144" i="10"/>
  <c r="M143" i="10"/>
  <c r="M142" i="10"/>
  <c r="M141" i="10"/>
  <c r="M140" i="10"/>
  <c r="M139" i="10"/>
  <c r="M138" i="10"/>
  <c r="M137" i="10"/>
  <c r="M136" i="10"/>
  <c r="M135" i="10"/>
  <c r="M134" i="10"/>
  <c r="M133" i="10"/>
  <c r="M132" i="10"/>
  <c r="M131" i="10"/>
  <c r="M130" i="10"/>
  <c r="M129" i="10"/>
  <c r="M128" i="10"/>
  <c r="M127" i="10"/>
  <c r="M126" i="10"/>
  <c r="M125" i="10"/>
  <c r="M124" i="10"/>
  <c r="M123" i="10"/>
  <c r="M122" i="10"/>
  <c r="M121" i="10"/>
  <c r="M120" i="10"/>
  <c r="M119" i="10"/>
  <c r="M118" i="10"/>
  <c r="M117" i="10"/>
  <c r="M116" i="10"/>
  <c r="M115" i="10"/>
  <c r="M114" i="10"/>
  <c r="M113" i="10"/>
  <c r="M112" i="10"/>
  <c r="M111" i="10"/>
  <c r="M110" i="10"/>
  <c r="M109" i="10"/>
  <c r="M108" i="10"/>
  <c r="M107" i="10"/>
  <c r="M106" i="10"/>
  <c r="M105" i="10"/>
  <c r="M104" i="10"/>
  <c r="M103" i="10"/>
  <c r="M102" i="10"/>
  <c r="M101" i="10"/>
  <c r="M100" i="10"/>
  <c r="M99" i="10"/>
  <c r="M98" i="10"/>
  <c r="M97" i="10"/>
  <c r="M96" i="10"/>
  <c r="M95" i="10"/>
  <c r="M94" i="10"/>
  <c r="M93" i="10"/>
  <c r="M92" i="10"/>
  <c r="M91" i="10"/>
  <c r="M90" i="10"/>
  <c r="M89" i="10"/>
  <c r="M88" i="10"/>
  <c r="M87" i="10"/>
  <c r="M86" i="10"/>
  <c r="M85" i="10"/>
  <c r="M84" i="10"/>
  <c r="M83" i="10"/>
  <c r="M82" i="10"/>
  <c r="M81" i="10"/>
  <c r="M80" i="10"/>
  <c r="M79" i="10"/>
  <c r="M78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M65" i="10"/>
  <c r="M64" i="10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M8" i="2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<sst xmlns="http://schemas.openxmlformats.org/spreadsheetml/2006/main" count="1485" uniqueCount="505">
  <si>
    <t>Gene Code</t>
  </si>
  <si>
    <t>Accesion no.</t>
  </si>
  <si>
    <t>40/1</t>
  </si>
  <si>
    <t>40/2</t>
  </si>
  <si>
    <t>80/1</t>
  </si>
  <si>
    <t>80/2</t>
  </si>
  <si>
    <t>150/1</t>
  </si>
  <si>
    <t>150/2</t>
  </si>
  <si>
    <t>300/1</t>
  </si>
  <si>
    <t>300/2</t>
  </si>
  <si>
    <t>ABCB1</t>
  </si>
  <si>
    <t>NM_000927.3</t>
  </si>
  <si>
    <t>ABL1</t>
  </si>
  <si>
    <t>NM_005157.3</t>
  </si>
  <si>
    <t>AKT1</t>
  </si>
  <si>
    <t>NM_005163.2</t>
  </si>
  <si>
    <t>AKT2</t>
  </si>
  <si>
    <t>NM_001626.2</t>
  </si>
  <si>
    <t>APC</t>
  </si>
  <si>
    <t>NM_000038.3</t>
  </si>
  <si>
    <t>AR</t>
  </si>
  <si>
    <t>NM_001011645.1</t>
  </si>
  <si>
    <t>AREG</t>
  </si>
  <si>
    <t>NM_001657.2</t>
  </si>
  <si>
    <t>ATM</t>
  </si>
  <si>
    <t>NM_000051.3</t>
  </si>
  <si>
    <t>BCL2</t>
  </si>
  <si>
    <t>NM_000633.2</t>
  </si>
  <si>
    <t>BCL2A1</t>
  </si>
  <si>
    <t>NM_004049.2</t>
  </si>
  <si>
    <t>BCL2L1</t>
  </si>
  <si>
    <t>NM_138578.1</t>
  </si>
  <si>
    <t>BCL3</t>
  </si>
  <si>
    <t>NM_005178.2</t>
  </si>
  <si>
    <t>BCL6</t>
  </si>
  <si>
    <t>NM_001706.2</t>
  </si>
  <si>
    <t>BCR</t>
  </si>
  <si>
    <t>NM_004327.3</t>
  </si>
  <si>
    <t>BIRC2</t>
  </si>
  <si>
    <t>NM_001166.3</t>
  </si>
  <si>
    <t>BIRC5</t>
  </si>
  <si>
    <t>NM_001012270.1</t>
  </si>
  <si>
    <t>BLM</t>
  </si>
  <si>
    <t>NM_000057.2</t>
  </si>
  <si>
    <t>BMI1</t>
  </si>
  <si>
    <t>NM_005180.5</t>
  </si>
  <si>
    <t>BRAF</t>
  </si>
  <si>
    <t>NM_004333.3</t>
  </si>
  <si>
    <t>BRCA1</t>
  </si>
  <si>
    <t>NM_007294.2</t>
  </si>
  <si>
    <t>BRCA2</t>
  </si>
  <si>
    <t>NM_000059.3</t>
  </si>
  <si>
    <t>CASP10</t>
  </si>
  <si>
    <t>NM_032977.3</t>
  </si>
  <si>
    <t>CASP2</t>
  </si>
  <si>
    <t>NM_032982.2</t>
  </si>
  <si>
    <t>CAV1</t>
  </si>
  <si>
    <t>NM_001753.3</t>
  </si>
  <si>
    <t>CCNA2</t>
  </si>
  <si>
    <t>NM_001237.2</t>
  </si>
  <si>
    <t>CCND1</t>
  </si>
  <si>
    <t>NM_053056.2</t>
  </si>
  <si>
    <t>CCND2</t>
  </si>
  <si>
    <t>NM_001759.2</t>
  </si>
  <si>
    <t>CCND3</t>
  </si>
  <si>
    <t>NM_001760.2</t>
  </si>
  <si>
    <t>CCNE1</t>
  </si>
  <si>
    <t>NM_001238.1</t>
  </si>
  <si>
    <t>CD34</t>
  </si>
  <si>
    <t>NM_001773.2</t>
  </si>
  <si>
    <t>CD44</t>
  </si>
  <si>
    <t>NM_001001391.1</t>
  </si>
  <si>
    <t>CDC2</t>
  </si>
  <si>
    <t>NM_001786.2</t>
  </si>
  <si>
    <t>CDC25B</t>
  </si>
  <si>
    <t>NM_021873.2</t>
  </si>
  <si>
    <t>CDC25C</t>
  </si>
  <si>
    <t>NM_001790.2</t>
  </si>
  <si>
    <t>CDH1</t>
  </si>
  <si>
    <t>NM_004360.2</t>
  </si>
  <si>
    <t>CDH11</t>
  </si>
  <si>
    <t>NM_001797.2</t>
  </si>
  <si>
    <t>CDK2</t>
  </si>
  <si>
    <t>NM_001798.2</t>
  </si>
  <si>
    <t>CDK4</t>
  </si>
  <si>
    <t>NM_000075.2</t>
  </si>
  <si>
    <t>CDK6</t>
  </si>
  <si>
    <t>NM_001259.5</t>
  </si>
  <si>
    <t>CDKN1A</t>
  </si>
  <si>
    <t>NM_000389.2</t>
  </si>
  <si>
    <t>CDKN2A</t>
  </si>
  <si>
    <t>NM_000077.3</t>
  </si>
  <si>
    <t>CDKN2B</t>
  </si>
  <si>
    <t>NM_004936.3</t>
  </si>
  <si>
    <t>CDKN2C</t>
  </si>
  <si>
    <t>NM_001262.2</t>
  </si>
  <si>
    <t>CEBPA</t>
  </si>
  <si>
    <t>NM_004364.2</t>
  </si>
  <si>
    <t>CHEK1</t>
  </si>
  <si>
    <t>NM_001274.2</t>
  </si>
  <si>
    <t>CLTC</t>
  </si>
  <si>
    <t>NM_004859.2</t>
  </si>
  <si>
    <t>COL1A1</t>
  </si>
  <si>
    <t>NM_000088.3</t>
  </si>
  <si>
    <t>CTGF</t>
  </si>
  <si>
    <t>NM_001901.2</t>
  </si>
  <si>
    <t>CTNNB1</t>
  </si>
  <si>
    <t>NM_001098210.1</t>
  </si>
  <si>
    <t>CXCL9</t>
  </si>
  <si>
    <t>NM_002416.1</t>
  </si>
  <si>
    <t>CYP1A1</t>
  </si>
  <si>
    <t>NM_000499.3</t>
  </si>
  <si>
    <t>CSF1R</t>
  </si>
  <si>
    <t>NM_005211.2</t>
  </si>
  <si>
    <t>CSF3</t>
  </si>
  <si>
    <t>NM_000759.2</t>
  </si>
  <si>
    <t>CSF3R</t>
  </si>
  <si>
    <t>NM_156038.2</t>
  </si>
  <si>
    <t>CSK</t>
  </si>
  <si>
    <t>NM_004383.1</t>
  </si>
  <si>
    <t>DAP3</t>
  </si>
  <si>
    <t>NM_004632.2</t>
  </si>
  <si>
    <t>DAPK1</t>
  </si>
  <si>
    <t>NM_004938.2</t>
  </si>
  <si>
    <t>DEK</t>
  </si>
  <si>
    <t>NM_001134709.1</t>
  </si>
  <si>
    <t>DLC1</t>
  </si>
  <si>
    <t>NM_182643.1</t>
  </si>
  <si>
    <t>E2F1</t>
  </si>
  <si>
    <t>NM_005225.1</t>
  </si>
  <si>
    <t>E2F3</t>
  </si>
  <si>
    <t>NM_001949.2</t>
  </si>
  <si>
    <t>EGF</t>
  </si>
  <si>
    <t>NM_001963.3</t>
  </si>
  <si>
    <t>EGFR</t>
  </si>
  <si>
    <t>NM_005228.3</t>
  </si>
  <si>
    <t>EGR1</t>
  </si>
  <si>
    <t>NM_001964.2</t>
  </si>
  <si>
    <t>EPS8</t>
  </si>
  <si>
    <t>NM_004447.5</t>
  </si>
  <si>
    <t>ERBB2</t>
  </si>
  <si>
    <t>NM_004448.2</t>
  </si>
  <si>
    <t>ERBB3</t>
  </si>
  <si>
    <t>NM_001982.2</t>
  </si>
  <si>
    <t>ERBB4</t>
  </si>
  <si>
    <t>NM_001042599.1</t>
  </si>
  <si>
    <t>ERCC2</t>
  </si>
  <si>
    <t>NM_000400.2</t>
  </si>
  <si>
    <t>ERCC4</t>
  </si>
  <si>
    <t>NM_005236.2</t>
  </si>
  <si>
    <t>ESR1</t>
  </si>
  <si>
    <t>NM_000125.2</t>
  </si>
  <si>
    <t>ETS1</t>
  </si>
  <si>
    <t>NM_005238.3</t>
  </si>
  <si>
    <t>ETS2</t>
  </si>
  <si>
    <t>NM_005239.4</t>
  </si>
  <si>
    <t>ETV1</t>
  </si>
  <si>
    <t>NM_004956.3</t>
  </si>
  <si>
    <t>ETV6</t>
  </si>
  <si>
    <t>NM_001987.4</t>
  </si>
  <si>
    <t>FANCG</t>
  </si>
  <si>
    <t>NM_004629.1</t>
  </si>
  <si>
    <t>FAS</t>
  </si>
  <si>
    <t>NM_000043.3</t>
  </si>
  <si>
    <t>FAT1</t>
  </si>
  <si>
    <t>NM_005245.3</t>
  </si>
  <si>
    <t>FGF1</t>
  </si>
  <si>
    <t>NM_033137.1</t>
  </si>
  <si>
    <t>FGF2</t>
  </si>
  <si>
    <t>NM_002006.4</t>
  </si>
  <si>
    <t>FGFR1</t>
  </si>
  <si>
    <t>NM_015850.2</t>
  </si>
  <si>
    <t>FGFR2</t>
  </si>
  <si>
    <t>NM_000141.4</t>
  </si>
  <si>
    <t>FGFR3</t>
  </si>
  <si>
    <t>NM_022965.2</t>
  </si>
  <si>
    <t>FGFR4</t>
  </si>
  <si>
    <t>NM_002011.3</t>
  </si>
  <si>
    <t>FGR</t>
  </si>
  <si>
    <t>NM_001042729.1</t>
  </si>
  <si>
    <t>FLT1</t>
  </si>
  <si>
    <t>NM_002019.2</t>
  </si>
  <si>
    <t>FLT3</t>
  </si>
  <si>
    <t>NM_004119.1</t>
  </si>
  <si>
    <t>FOLR1</t>
  </si>
  <si>
    <t>NM_000802.2</t>
  </si>
  <si>
    <t>FOS</t>
  </si>
  <si>
    <t>NM_005252.2</t>
  </si>
  <si>
    <t>FOSL2</t>
  </si>
  <si>
    <t>NM_005253.3</t>
  </si>
  <si>
    <t>FRZB</t>
  </si>
  <si>
    <t>NM_001463.2</t>
  </si>
  <si>
    <t>FYN</t>
  </si>
  <si>
    <t>NM_002037.3</t>
  </si>
  <si>
    <t>GADD45A</t>
  </si>
  <si>
    <t>NM_001924.2</t>
  </si>
  <si>
    <t>GAPDH</t>
  </si>
  <si>
    <t>NM_002046.3</t>
  </si>
  <si>
    <t>GAS1</t>
  </si>
  <si>
    <t>NM_002048.2</t>
  </si>
  <si>
    <t>GATA1</t>
  </si>
  <si>
    <t>NM_002049.2</t>
  </si>
  <si>
    <t>GNAS</t>
  </si>
  <si>
    <t>NM_016592.2</t>
  </si>
  <si>
    <t>GRB7</t>
  </si>
  <si>
    <t>NM_005310.2</t>
  </si>
  <si>
    <t>GUSB</t>
  </si>
  <si>
    <t>NM_000181.1</t>
  </si>
  <si>
    <t>HCK</t>
  </si>
  <si>
    <t>NM_002110.2</t>
  </si>
  <si>
    <t>HDAC1</t>
  </si>
  <si>
    <t>NM_004964.2</t>
  </si>
  <si>
    <t>HIF1A</t>
  </si>
  <si>
    <t>NM_001530.2</t>
  </si>
  <si>
    <t>HMMR</t>
  </si>
  <si>
    <t>NM_012484.2</t>
  </si>
  <si>
    <t>HPRT1</t>
  </si>
  <si>
    <t>NM_000194.1</t>
  </si>
  <si>
    <t>HRAS</t>
  </si>
  <si>
    <t>NM_005343.2</t>
  </si>
  <si>
    <t>HSP90AB1</t>
  </si>
  <si>
    <t>NM_007355.2</t>
  </si>
  <si>
    <t>IFNGR1</t>
  </si>
  <si>
    <t>NM_000416.1</t>
  </si>
  <si>
    <t>IGF1</t>
  </si>
  <si>
    <t>NM_000618.3</t>
  </si>
  <si>
    <t>IGFBP2</t>
  </si>
  <si>
    <t>NM_000597.2</t>
  </si>
  <si>
    <t>IGFBP3</t>
  </si>
  <si>
    <t>NM_000598.4</t>
  </si>
  <si>
    <t>IGFBP6</t>
  </si>
  <si>
    <t>NM_002178.2</t>
  </si>
  <si>
    <t>IL1A</t>
  </si>
  <si>
    <t>NM_000575.3</t>
  </si>
  <si>
    <t>IL1B</t>
  </si>
  <si>
    <t>NM_000576.2</t>
  </si>
  <si>
    <t>IL4</t>
  </si>
  <si>
    <t>NM_172348.1</t>
  </si>
  <si>
    <t>IL6</t>
  </si>
  <si>
    <t>NM_000600.1</t>
  </si>
  <si>
    <t>IL8</t>
  </si>
  <si>
    <t>NM_000584.2</t>
  </si>
  <si>
    <t>IRF1</t>
  </si>
  <si>
    <t>NM_002198.1</t>
  </si>
  <si>
    <t>ITGB1</t>
  </si>
  <si>
    <t>NM_033666.2</t>
  </si>
  <si>
    <t>JUN</t>
  </si>
  <si>
    <t>NM_002228.3</t>
  </si>
  <si>
    <t>JUNB</t>
  </si>
  <si>
    <t>NM_002229.2</t>
  </si>
  <si>
    <t>KDR</t>
  </si>
  <si>
    <t>NM_002253.2</t>
  </si>
  <si>
    <t>KIT</t>
  </si>
  <si>
    <t>NM_000222.1</t>
  </si>
  <si>
    <t>KRAS</t>
  </si>
  <si>
    <t>NM_004985.3</t>
  </si>
  <si>
    <t>L1CAM</t>
  </si>
  <si>
    <t>NM_024003.2</t>
  </si>
  <si>
    <t>LAMB1</t>
  </si>
  <si>
    <t>NM_002291.2</t>
  </si>
  <si>
    <t>LCK</t>
  </si>
  <si>
    <t>NM_001042771.1</t>
  </si>
  <si>
    <t>LIF</t>
  </si>
  <si>
    <t>NM_002309.2</t>
  </si>
  <si>
    <t>LMO1</t>
  </si>
  <si>
    <t>NM_002315.1</t>
  </si>
  <si>
    <t>LMO2</t>
  </si>
  <si>
    <t>NM_005574.3</t>
  </si>
  <si>
    <t>LYN</t>
  </si>
  <si>
    <t>NM_002350.1</t>
  </si>
  <si>
    <t>MAP3K8</t>
  </si>
  <si>
    <t>NM_005204.2</t>
  </si>
  <si>
    <t>MAPK10</t>
  </si>
  <si>
    <t>NM_002753.2</t>
  </si>
  <si>
    <t>MCL1</t>
  </si>
  <si>
    <t>NM_021960.3</t>
  </si>
  <si>
    <t>MET</t>
  </si>
  <si>
    <t>NM_000245.2</t>
  </si>
  <si>
    <t>MLH1</t>
  </si>
  <si>
    <t>NM_000249.2</t>
  </si>
  <si>
    <t>MLL</t>
  </si>
  <si>
    <t>NM_005933.2</t>
  </si>
  <si>
    <t>MMP1</t>
  </si>
  <si>
    <t>NM_002421.2</t>
  </si>
  <si>
    <t>MMP14</t>
  </si>
  <si>
    <t>NM_004995.2</t>
  </si>
  <si>
    <t>MMP2</t>
  </si>
  <si>
    <t>NM_004530.2</t>
  </si>
  <si>
    <t>MMP3</t>
  </si>
  <si>
    <t>NM_002422.3</t>
  </si>
  <si>
    <t>MMP9</t>
  </si>
  <si>
    <t>NM_004994.2</t>
  </si>
  <si>
    <t>MPL</t>
  </si>
  <si>
    <t>NM_005373.2</t>
  </si>
  <si>
    <t>MSH2</t>
  </si>
  <si>
    <t>NM_000251.1</t>
  </si>
  <si>
    <t>MSH6</t>
  </si>
  <si>
    <t>NM_000179.1</t>
  </si>
  <si>
    <t>MST1R</t>
  </si>
  <si>
    <t>NM_002447.1</t>
  </si>
  <si>
    <t>MTA1</t>
  </si>
  <si>
    <t>NM_004689.2</t>
  </si>
  <si>
    <t>MUC1</t>
  </si>
  <si>
    <t>NM_002456.4</t>
  </si>
  <si>
    <t>MYB</t>
  </si>
  <si>
    <t>NM_005375.2</t>
  </si>
  <si>
    <t>MYBL2</t>
  </si>
  <si>
    <t>NM_002466.2</t>
  </si>
  <si>
    <t>MYC</t>
  </si>
  <si>
    <t>NM_002467.3</t>
  </si>
  <si>
    <t>MYCL1</t>
  </si>
  <si>
    <t>NM_001033082.1</t>
  </si>
  <si>
    <t>MYCN</t>
  </si>
  <si>
    <t>NM_005378.4</t>
  </si>
  <si>
    <t>NF1</t>
  </si>
  <si>
    <t>NM_001042492.1</t>
  </si>
  <si>
    <t>NGFR</t>
  </si>
  <si>
    <t>NM_002507.1</t>
  </si>
  <si>
    <t>NOTCH1</t>
  </si>
  <si>
    <t>NM_017617.3</t>
  </si>
  <si>
    <t>NPM1</t>
  </si>
  <si>
    <t>NM_002520.5</t>
  </si>
  <si>
    <t>NQO1</t>
  </si>
  <si>
    <t>NM_000903.2</t>
  </si>
  <si>
    <t>NRAS</t>
  </si>
  <si>
    <t>NM_002524.3</t>
  </si>
  <si>
    <t>NTRK1</t>
  </si>
  <si>
    <t>NM_001012331.1</t>
  </si>
  <si>
    <t>NTRK2</t>
  </si>
  <si>
    <t>NM_001018066.2</t>
  </si>
  <si>
    <t>NTRK3</t>
  </si>
  <si>
    <t>NM_001012338.1</t>
  </si>
  <si>
    <t>NUMA1</t>
  </si>
  <si>
    <t>NM_006185.2</t>
  </si>
  <si>
    <t>OGG1</t>
  </si>
  <si>
    <t>NM_016821.2</t>
  </si>
  <si>
    <t>PCNA</t>
  </si>
  <si>
    <t>NM_182649.1</t>
  </si>
  <si>
    <t>PCTK1</t>
  </si>
  <si>
    <t>NM_006201.3</t>
  </si>
  <si>
    <t>PDGFA</t>
  </si>
  <si>
    <t>NM_033023.4</t>
  </si>
  <si>
    <t>PDGFRA</t>
  </si>
  <si>
    <t>NM_006206.3</t>
  </si>
  <si>
    <t>PDGFRB</t>
  </si>
  <si>
    <t>NM_002609.3</t>
  </si>
  <si>
    <t>PGK1</t>
  </si>
  <si>
    <t>NM_000291.2</t>
  </si>
  <si>
    <t>PIK3CA</t>
  </si>
  <si>
    <t>NM_006218.2</t>
  </si>
  <si>
    <t>PIM1</t>
  </si>
  <si>
    <t>NM_002648.2</t>
  </si>
  <si>
    <t>PLA2G2A</t>
  </si>
  <si>
    <t>NM_000300.2</t>
  </si>
  <si>
    <t>PLAT</t>
  </si>
  <si>
    <t>NM_000930.3</t>
  </si>
  <si>
    <t>PLAUR</t>
  </si>
  <si>
    <t>NM_002659.2</t>
  </si>
  <si>
    <t>PLG</t>
  </si>
  <si>
    <t>NM_000301.1</t>
  </si>
  <si>
    <t>PML</t>
  </si>
  <si>
    <t>NM_033240.2</t>
  </si>
  <si>
    <t>PPARG</t>
  </si>
  <si>
    <t>NM_138711.3</t>
  </si>
  <si>
    <t>PRKAR1A</t>
  </si>
  <si>
    <t>NM_002734.3</t>
  </si>
  <si>
    <t>PTEN</t>
  </si>
  <si>
    <t>NM_000314.3</t>
  </si>
  <si>
    <t>PTGS2</t>
  </si>
  <si>
    <t>NM_000963.1</t>
  </si>
  <si>
    <t>PTHLH</t>
  </si>
  <si>
    <t>NM_198965.1</t>
  </si>
  <si>
    <t>PTK7</t>
  </si>
  <si>
    <t>NM_152881.2</t>
  </si>
  <si>
    <t>PTPN11</t>
  </si>
  <si>
    <t>NM_002834.3</t>
  </si>
  <si>
    <t>PTPRG</t>
  </si>
  <si>
    <t>NM_002841.2</t>
  </si>
  <si>
    <t>RAD54L</t>
  </si>
  <si>
    <t>NM_003579.2</t>
  </si>
  <si>
    <t>RAF1</t>
  </si>
  <si>
    <t>NM_002880.2</t>
  </si>
  <si>
    <t>RARA</t>
  </si>
  <si>
    <t>NM_000964.2</t>
  </si>
  <si>
    <t>RB1</t>
  </si>
  <si>
    <t>NM_000321.1</t>
  </si>
  <si>
    <t>REL</t>
  </si>
  <si>
    <t>NM_002908.2</t>
  </si>
  <si>
    <t>RET</t>
  </si>
  <si>
    <t>NM_020975.3</t>
  </si>
  <si>
    <t>RRM1</t>
  </si>
  <si>
    <t>NM_001033.3</t>
  </si>
  <si>
    <t>S100A4</t>
  </si>
  <si>
    <t>NM_002961.2</t>
  </si>
  <si>
    <t>SERPINE1</t>
  </si>
  <si>
    <t>NM_000602.2</t>
  </si>
  <si>
    <t>SFPQ</t>
  </si>
  <si>
    <t>NM_005066.2</t>
  </si>
  <si>
    <t>SIAH1</t>
  </si>
  <si>
    <t>NM_001006610.1</t>
  </si>
  <si>
    <t>SOD1</t>
  </si>
  <si>
    <t>NM_000454.4</t>
  </si>
  <si>
    <t>SPI1</t>
  </si>
  <si>
    <t>NM_003120.1</t>
  </si>
  <si>
    <t>SPP1</t>
  </si>
  <si>
    <t>NM_000582.2</t>
  </si>
  <si>
    <t>STAT1</t>
  </si>
  <si>
    <t>NM_139266.1</t>
  </si>
  <si>
    <t>STAT3</t>
  </si>
  <si>
    <t>NM_139276.2</t>
  </si>
  <si>
    <t>SYK</t>
  </si>
  <si>
    <t>NM_003177.3</t>
  </si>
  <si>
    <t>TAL1</t>
  </si>
  <si>
    <t>NM_003189.2</t>
  </si>
  <si>
    <t>TEK</t>
  </si>
  <si>
    <t>NM_000459.2</t>
  </si>
  <si>
    <t>TERT</t>
  </si>
  <si>
    <t>NM_198253.1</t>
  </si>
  <si>
    <t>TFDP1</t>
  </si>
  <si>
    <t>NM_007111.4</t>
  </si>
  <si>
    <t>TFE3</t>
  </si>
  <si>
    <t>NM_006521.3</t>
  </si>
  <si>
    <t>TFRC</t>
  </si>
  <si>
    <t>NM_003234.1</t>
  </si>
  <si>
    <t>TGFA</t>
  </si>
  <si>
    <t>NM_001099691.1</t>
  </si>
  <si>
    <t>TGFB1</t>
  </si>
  <si>
    <t>NM_000660.3</t>
  </si>
  <si>
    <t>TGFBI</t>
  </si>
  <si>
    <t>NM_000358.2</t>
  </si>
  <si>
    <t>TGFBR2</t>
  </si>
  <si>
    <t>NM_001024847.1</t>
  </si>
  <si>
    <t>TGFBR3</t>
  </si>
  <si>
    <t>NM_003243.3</t>
  </si>
  <si>
    <t>THPO</t>
  </si>
  <si>
    <t>NM_000460.2</t>
  </si>
  <si>
    <t>TIMP1</t>
  </si>
  <si>
    <t>NM_003254.2</t>
  </si>
  <si>
    <t>TIMP2</t>
  </si>
  <si>
    <t>NM_003255.4</t>
  </si>
  <si>
    <t>TIMP3</t>
  </si>
  <si>
    <t>NM_000362.4</t>
  </si>
  <si>
    <t>TNF</t>
  </si>
  <si>
    <t>NM_000594.2</t>
  </si>
  <si>
    <t>TNFRSF10B</t>
  </si>
  <si>
    <t>NM_003842.3</t>
  </si>
  <si>
    <t>TNFRSF1B</t>
  </si>
  <si>
    <t>NM_001066.2</t>
  </si>
  <si>
    <t>TNFSF10</t>
  </si>
  <si>
    <t>NM_003810.2</t>
  </si>
  <si>
    <t>TOP1</t>
  </si>
  <si>
    <t>NM_003286.2</t>
  </si>
  <si>
    <t>TOP2A</t>
  </si>
  <si>
    <t>NM_001067.2</t>
  </si>
  <si>
    <t>TP53</t>
  </si>
  <si>
    <t>NM_000546.2</t>
  </si>
  <si>
    <t>TPR</t>
  </si>
  <si>
    <t>NM_003292.2</t>
  </si>
  <si>
    <t>TUBB</t>
  </si>
  <si>
    <t>NM_178014.2</t>
  </si>
  <si>
    <t>TYMS</t>
  </si>
  <si>
    <t>NM_001071.1</t>
  </si>
  <si>
    <t>TYRO3</t>
  </si>
  <si>
    <t>NM_006293.2</t>
  </si>
  <si>
    <t>WEE1</t>
  </si>
  <si>
    <t>NM_003390.2</t>
  </si>
  <si>
    <t>WFDC2</t>
  </si>
  <si>
    <t>NM_006103.3</t>
  </si>
  <si>
    <t>WNT1</t>
  </si>
  <si>
    <t>NM_005430.2</t>
  </si>
  <si>
    <t>WNT10B</t>
  </si>
  <si>
    <t>NM_003394.2</t>
  </si>
  <si>
    <t>WT1</t>
  </si>
  <si>
    <t>NM_000378.3</t>
  </si>
  <si>
    <t>XPC</t>
  </si>
  <si>
    <t>NM_004628.3</t>
  </si>
  <si>
    <t>XRCC5</t>
  </si>
  <si>
    <t>NM_021141.3</t>
  </si>
  <si>
    <t>YES1</t>
  </si>
  <si>
    <t>NM_005433.3</t>
  </si>
  <si>
    <t>YY1</t>
  </si>
  <si>
    <t>NM_003403.3</t>
  </si>
  <si>
    <t>NM_007313.2</t>
  </si>
  <si>
    <t>NM_002880.1</t>
  </si>
  <si>
    <t>NM_002350.2</t>
  </si>
  <si>
    <t>NM_004333.1</t>
  </si>
  <si>
    <t>rel_300</t>
  </si>
  <si>
    <t>rel_80</t>
  </si>
  <si>
    <t>rel_40</t>
  </si>
  <si>
    <t>mean_150</t>
  </si>
  <si>
    <t>rel_err_40</t>
  </si>
  <si>
    <t>rel_err_ratio_40</t>
  </si>
  <si>
    <t>rel_err_80</t>
  </si>
  <si>
    <t>rel_err_ratio_80</t>
  </si>
  <si>
    <t>rel_err_300</t>
  </si>
  <si>
    <t>rel_err_ratio_300</t>
  </si>
  <si>
    <t>Reliability_Category</t>
  </si>
  <si>
    <t>Sum of errors</t>
  </si>
  <si>
    <t>yellow</t>
  </si>
  <si>
    <t>light red</t>
  </si>
  <si>
    <t>red</t>
  </si>
  <si>
    <t>light green</t>
  </si>
  <si>
    <t>green</t>
  </si>
  <si>
    <t>total_error</t>
  </si>
  <si>
    <t>sd_150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</si>
</sst>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charset val="238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1"/>
      <color theme="4" tint="-0.249977111117893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29">
    <xf numFmtId="0" fontId="0" fillId="0" borderId="0" xfId="0"/>
    <xf numFmtId="0" fontId="1" fillId="2" borderId="1" xfId="1" applyFill="1" applyBorder="1"/>
    <xf numFmtId="0" fontId="1" fillId="3" borderId="1" xfId="1" applyFill="1" applyBorder="1"/>
    <xf numFmtId="0" fontId="1" fillId="0" borderId="1" xfId="1" applyBorder="1"/>
    <xf numFmtId="0" fontId="1" fillId="0" borderId="0" xfId="1"/>
    <xf numFmtId="0" fontId="1" fillId="4" borderId="1" xfId="1" applyFill="1" applyBorder="1"/>
    <xf numFmtId="0" fontId="1" fillId="2" borderId="0" xfId="1" applyFill="1"/>
    <xf numFmtId="0" fontId="1" fillId="3" borderId="0" xfId="1" applyFill="1"/>
    <xf numFmtId="0" fontId="0" fillId="5" borderId="2" xfId="0" applyFill="1" applyBorder="1"/>
    <xf numFmtId="0" fontId="0" fillId="0" borderId="1" xfId="0" applyBorder="1"/>
    <xf numFmtId="0" fontId="0" fillId="0" borderId="3" xfId="0" applyBorder="1"/>
    <xf numFmtId="0" fontId="2" fillId="0" borderId="1" xfId="0" applyFont="1" applyBorder="1"/>
    <xf numFmtId="2" fontId="3" fillId="0" borderId="1" xfId="0" applyNumberFormat="1" applyFont="1" applyBorder="1" applyAlignment="1">
      <alignment horizontal="center"/>
    </xf>
    <xf numFmtId="0" fontId="4" fillId="5" borderId="1" xfId="0" applyFont="1" applyFill="1" applyBorder="1"/>
    <xf numFmtId="0" fontId="4" fillId="0" borderId="1" xfId="0" applyFont="1" applyBorder="1"/>
    <xf numFmtId="0" fontId="1" fillId="2" borderId="4" xfId="1" applyFill="1" applyBorder="1"/>
    <xf numFmtId="0" fontId="1" fillId="3" borderId="4" xfId="1" applyFill="1" applyBorder="1"/>
    <xf numFmtId="0" fontId="1" fillId="2" borderId="5" xfId="1" applyFill="1" applyBorder="1"/>
    <xf numFmtId="0" fontId="1" fillId="3" borderId="5" xfId="1" applyFill="1" applyBorder="1"/>
    <xf numFmtId="0" fontId="1" fillId="0" borderId="5" xfId="1" applyBorder="1"/>
    <xf numFmtId="0" fontId="5" fillId="0" borderId="0" xfId="3"/>
    <xf numFmtId="164" fontId="5" fillId="0" borderId="0" xfId="3" applyNumberFormat="1"/>
    <xf numFmtId="0" fontId="6" fillId="0" borderId="1" xfId="3" applyFont="1" applyBorder="1" applyAlignment="1">
      <alignment horizontal="center" vertical="top"/>
    </xf>
    <xf numFmtId="0" fontId="5" fillId="0" borderId="0" xfId="3" applyAlignment="1">
      <alignment horizontal="center"/>
    </xf>
    <xf numFmtId="164" fontId="5" fillId="0" borderId="0" xfId="3" applyNumberFormat="1" applyAlignment="1">
      <alignment horizontal="center"/>
    </xf>
    <xf numFmtId="0" fontId="6" fillId="0" borderId="6" xfId="3" applyFont="1" applyBorder="1" applyAlignment="1">
      <alignment horizontal="center" vertical="top"/>
    </xf>
    <xf numFmtId="0" fontId="7" fillId="0" borderId="1" xfId="3" applyFont="1" applyBorder="1" applyAlignment="1">
      <alignment horizontal="center" vertical="top"/>
    </xf>
    <xf numFmtId="0" fontId="8" fillId="0" borderId="0" xfId="3" applyFont="1"/>
    <xf numFmtId="164" fontId="8" fillId="0" borderId="0" xfId="3" applyNumberFormat="1" applyFont="1" applyAlignment="1">
      <alignment horizontal="center"/>
    </xf>
  </cellXfs>
  <cellStyles count="4">
    <cellStyle name="Normal" xfId="0" builtinId="0"/>
    <cellStyle name="Normal 2" xfId="1" xr:uid="{5251DD38-3B30-446D-8D57-560973E2919B}"/>
    <cellStyle name="Normal 3" xfId="3" xr:uid="{4380D7FA-F46B-4EDA-98F4-319CF92878CD}"/>
    <cellStyle name="Percent 2" xfId="2" xr:uid="{DBD16E2B-B2D6-48B2-97EE-1623023908D4}"/>
  </cellStyles>
  <dxfs count="1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201953</xdr:colOff>
      <xdr:row>0</xdr:row>
      <xdr:rowOff>170090</xdr:rowOff>
    </xdr:from>
    <xdr:to>
      <xdr:col>26</xdr:col>
      <xdr:colOff>49555</xdr:colOff>
      <xdr:row>28</xdr:row>
      <xdr:rowOff>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8A7EBB-486F-4FD5-0E17-A2A6E4F09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132" y="170090"/>
          <a:ext cx="7807780" cy="501858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452316-D99F-45FF-B41E-988C5B67D186}" name="Table1" displayName="Table1" ref="A1:J241" totalsRowShown="0" headerRowDxfId="13" headerRowBorderDxfId="12" tableBorderDxfId="11" totalsRowBorderDxfId="10" headerRowCellStyle="Normal 2" dataCellStyle="Normal 2">
  <autoFilter ref="A1:J241" xr:uid="{5062D13F-8C24-4A5F-9A42-D1A2FEAC3F79}"/>
  <tableColumns count="10">
    <tableColumn id="1" xr3:uid="{BB7D97E2-2FFC-42D6-937A-4122A6FC5BE5}" name="Gene Code" dataDxfId="9" dataCellStyle="Normal 2"/>
    <tableColumn id="2" xr3:uid="{FCB2883D-8D62-4A79-BC1E-638B553435C1}" name="Accesion no." dataDxfId="8" dataCellStyle="Normal 2"/>
    <tableColumn id="3" xr3:uid="{101D159A-3069-46CC-BAC5-04A2578AE6C2}" name="40/1" dataDxfId="7" dataCellStyle="Normal 2"/>
    <tableColumn id="4" xr3:uid="{614D55B0-1E02-4EAA-B87B-89AB659334E5}" name="40/2" dataDxfId="6" dataCellStyle="Normal 2"/>
    <tableColumn id="5" xr3:uid="{A0121E06-C723-496C-B697-1ADF2123741C}" name="80/1" dataDxfId="5" dataCellStyle="Normal 2"/>
    <tableColumn id="6" xr3:uid="{081EF0DE-8925-4511-9565-4329F7C188F8}" name="80/2" dataDxfId="4" dataCellStyle="Normal 2"/>
    <tableColumn id="7" xr3:uid="{14453F60-AD9A-4ED4-AFBF-41A061D0FA8B}" name="150/1" dataDxfId="3" dataCellStyle="Normal 2"/>
    <tableColumn id="8" xr3:uid="{AA1D0DFD-D125-4870-9E16-9B13D7AD6A01}" name="150/2" dataDxfId="2" dataCellStyle="Normal 2"/>
    <tableColumn id="9" xr3:uid="{A589ECF8-912C-4091-8554-BF2CCD1C7536}" name="300/1" dataDxfId="1" dataCellStyle="Normal 2"/>
    <tableColumn id="10" xr3:uid="{91C9CF82-AA94-4332-A13C-46AF52A0C2DA}" name="300/2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D13F-8C24-4A5F-9A42-D1A2FEAC3F79}">
  <dimension ref="A1:N241"/>
  <sheetViews>
    <sheetView workbookViewId="0">
      <selection activeCell="C18" sqref="C18"/>
    </sheetView>
  </sheetViews>
  <sheetFormatPr defaultRowHeight="13.2" x14ac:dyDescent="0.25"/>
  <cols>
    <col min="1" max="1" width="12.5546875" style="6" customWidth="1"/>
    <col min="2" max="2" width="14.109375" style="7" customWidth="1"/>
    <col min="3" max="3" width="6.88671875" style="4" customWidth="1"/>
    <col min="4" max="4" width="8.77734375" style="4" customWidth="1"/>
    <col min="5" max="5" width="7.77734375" style="4" customWidth="1"/>
    <col min="6" max="6" width="6.88671875" style="4" customWidth="1"/>
    <col min="7" max="7" width="7.44140625" style="4" customWidth="1"/>
    <col min="8" max="8" width="7.88671875" style="4" customWidth="1"/>
    <col min="9" max="9" width="7.77734375" style="4" customWidth="1"/>
    <col min="10" max="10" width="7.44140625" style="4" customWidth="1"/>
    <col min="11" max="12" width="8.88671875" style="4"/>
    <col min="13" max="13" width="9.44140625" style="4" bestFit="1" customWidth="1"/>
    <col min="14" max="16384" width="8.88671875" style="4"/>
  </cols>
  <sheetData>
    <row r="1" spans="1:14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4" x14ac:dyDescent="0.25">
      <c r="A2" s="5" t="s">
        <v>10</v>
      </c>
      <c r="B2" s="2" t="s">
        <v>11</v>
      </c>
      <c r="C2" s="3">
        <v>27</v>
      </c>
      <c r="D2" s="3">
        <v>19</v>
      </c>
      <c r="E2" s="3">
        <v>12</v>
      </c>
      <c r="F2" s="3">
        <v>12</v>
      </c>
      <c r="G2" s="3">
        <v>23</v>
      </c>
      <c r="H2" s="3">
        <v>18</v>
      </c>
      <c r="I2" s="3">
        <v>22</v>
      </c>
      <c r="J2" s="3">
        <v>30</v>
      </c>
    </row>
    <row r="3" spans="1:14" x14ac:dyDescent="0.25">
      <c r="A3" s="1" t="s">
        <v>12</v>
      </c>
      <c r="B3" s="2" t="s">
        <v>13</v>
      </c>
      <c r="C3" s="3">
        <v>676</v>
      </c>
      <c r="D3" s="3">
        <v>390</v>
      </c>
      <c r="E3" s="3">
        <v>569</v>
      </c>
      <c r="F3" s="3">
        <v>590</v>
      </c>
      <c r="G3" s="3">
        <v>501</v>
      </c>
      <c r="H3" s="3">
        <v>665</v>
      </c>
      <c r="I3" s="3">
        <v>843</v>
      </c>
      <c r="J3" s="3">
        <v>936</v>
      </c>
    </row>
    <row r="4" spans="1:14" customFormat="1" ht="14.4" x14ac:dyDescent="0.3">
      <c r="A4" s="8" t="s">
        <v>12</v>
      </c>
      <c r="B4" s="9" t="s">
        <v>482</v>
      </c>
      <c r="C4" s="9">
        <v>424</v>
      </c>
      <c r="D4" s="9">
        <v>397</v>
      </c>
      <c r="E4" s="9">
        <v>387</v>
      </c>
      <c r="F4" s="9">
        <v>451</v>
      </c>
      <c r="G4" s="9">
        <v>349</v>
      </c>
      <c r="H4" s="9">
        <v>528</v>
      </c>
      <c r="I4" s="9">
        <v>701</v>
      </c>
      <c r="J4" s="10">
        <v>628</v>
      </c>
      <c r="K4" s="11"/>
      <c r="L4" s="12"/>
      <c r="M4" s="12"/>
      <c r="N4" s="12"/>
    </row>
    <row r="5" spans="1:14" x14ac:dyDescent="0.25">
      <c r="A5" s="1" t="s">
        <v>14</v>
      </c>
      <c r="B5" s="2" t="s">
        <v>15</v>
      </c>
      <c r="C5" s="3">
        <v>5</v>
      </c>
      <c r="D5" s="3">
        <v>3</v>
      </c>
      <c r="E5" s="3">
        <v>6</v>
      </c>
      <c r="F5" s="3">
        <v>4</v>
      </c>
      <c r="G5" s="3">
        <v>8</v>
      </c>
      <c r="H5" s="3">
        <v>2</v>
      </c>
      <c r="I5" s="3">
        <v>7</v>
      </c>
      <c r="J5" s="3">
        <v>12</v>
      </c>
    </row>
    <row r="6" spans="1:14" x14ac:dyDescent="0.25">
      <c r="A6" s="1" t="s">
        <v>16</v>
      </c>
      <c r="B6" s="2" t="s">
        <v>17</v>
      </c>
      <c r="C6" s="3">
        <v>3249</v>
      </c>
      <c r="D6" s="3">
        <v>2098</v>
      </c>
      <c r="E6" s="3">
        <v>2658</v>
      </c>
      <c r="F6" s="3">
        <v>2814</v>
      </c>
      <c r="G6" s="3">
        <v>3084</v>
      </c>
      <c r="H6" s="3">
        <v>3089</v>
      </c>
      <c r="I6" s="3">
        <v>3225</v>
      </c>
      <c r="J6" s="3">
        <v>4528</v>
      </c>
    </row>
    <row r="7" spans="1:14" x14ac:dyDescent="0.25">
      <c r="A7" s="1" t="s">
        <v>18</v>
      </c>
      <c r="B7" s="2" t="s">
        <v>19</v>
      </c>
      <c r="C7" s="3">
        <v>24</v>
      </c>
      <c r="D7" s="3">
        <v>23</v>
      </c>
      <c r="E7" s="3">
        <v>23</v>
      </c>
      <c r="F7" s="3">
        <v>19</v>
      </c>
      <c r="G7" s="3">
        <v>17</v>
      </c>
      <c r="H7" s="3">
        <v>30</v>
      </c>
      <c r="I7" s="3">
        <v>26</v>
      </c>
      <c r="J7" s="3">
        <v>34</v>
      </c>
    </row>
    <row r="8" spans="1:14" x14ac:dyDescent="0.25">
      <c r="A8" s="1" t="s">
        <v>20</v>
      </c>
      <c r="B8" s="2" t="s">
        <v>21</v>
      </c>
      <c r="C8" s="3">
        <v>18</v>
      </c>
      <c r="D8" s="3">
        <v>17</v>
      </c>
      <c r="E8" s="3">
        <v>17</v>
      </c>
      <c r="F8" s="3">
        <v>18</v>
      </c>
      <c r="G8" s="3">
        <v>10</v>
      </c>
      <c r="H8" s="3">
        <v>16</v>
      </c>
      <c r="I8" s="3">
        <v>20</v>
      </c>
      <c r="J8" s="3">
        <v>23</v>
      </c>
      <c r="M8" s="4">
        <f>SUM(1,2,3)</f>
        <v>6</v>
      </c>
    </row>
    <row r="9" spans="1:14" x14ac:dyDescent="0.25">
      <c r="A9" s="1" t="s">
        <v>22</v>
      </c>
      <c r="B9" s="2" t="s">
        <v>23</v>
      </c>
      <c r="C9" s="3">
        <v>727</v>
      </c>
      <c r="D9" s="3">
        <v>363</v>
      </c>
      <c r="E9" s="3">
        <v>791</v>
      </c>
      <c r="F9" s="3">
        <v>593</v>
      </c>
      <c r="G9" s="3">
        <v>597</v>
      </c>
      <c r="H9" s="3">
        <v>768</v>
      </c>
      <c r="I9" s="3">
        <v>1090</v>
      </c>
      <c r="J9" s="3">
        <v>1182</v>
      </c>
    </row>
    <row r="10" spans="1:14" x14ac:dyDescent="0.25">
      <c r="A10" s="1" t="s">
        <v>24</v>
      </c>
      <c r="B10" s="2" t="s">
        <v>25</v>
      </c>
      <c r="C10" s="3">
        <v>9</v>
      </c>
      <c r="D10" s="3">
        <v>7</v>
      </c>
      <c r="E10" s="3">
        <v>10</v>
      </c>
      <c r="F10" s="3">
        <v>15</v>
      </c>
      <c r="G10" s="3">
        <v>17</v>
      </c>
      <c r="H10" s="3">
        <v>14</v>
      </c>
      <c r="I10" s="3">
        <v>18</v>
      </c>
      <c r="J10" s="3">
        <v>20</v>
      </c>
    </row>
    <row r="11" spans="1:14" x14ac:dyDescent="0.25">
      <c r="A11" s="1" t="s">
        <v>26</v>
      </c>
      <c r="B11" s="2" t="s">
        <v>27</v>
      </c>
      <c r="C11" s="3">
        <v>29</v>
      </c>
      <c r="D11" s="3">
        <v>24</v>
      </c>
      <c r="E11" s="3">
        <v>36</v>
      </c>
      <c r="F11" s="3">
        <v>24</v>
      </c>
      <c r="G11" s="3">
        <v>29</v>
      </c>
      <c r="H11" s="3">
        <v>30</v>
      </c>
      <c r="I11" s="3">
        <v>47</v>
      </c>
      <c r="J11" s="3">
        <v>35</v>
      </c>
    </row>
    <row r="12" spans="1:14" x14ac:dyDescent="0.25">
      <c r="A12" s="5" t="s">
        <v>28</v>
      </c>
      <c r="B12" s="2" t="s">
        <v>29</v>
      </c>
      <c r="C12" s="3">
        <v>23</v>
      </c>
      <c r="D12" s="3">
        <v>18</v>
      </c>
      <c r="E12" s="3">
        <v>29</v>
      </c>
      <c r="F12" s="3">
        <v>35</v>
      </c>
      <c r="G12" s="3">
        <v>31</v>
      </c>
      <c r="H12" s="3">
        <v>36</v>
      </c>
      <c r="I12" s="3">
        <v>54</v>
      </c>
      <c r="J12" s="3">
        <v>63</v>
      </c>
    </row>
    <row r="13" spans="1:14" x14ac:dyDescent="0.25">
      <c r="A13" s="1" t="s">
        <v>30</v>
      </c>
      <c r="B13" s="2" t="s">
        <v>31</v>
      </c>
      <c r="C13" s="3">
        <v>239</v>
      </c>
      <c r="D13" s="3">
        <v>219</v>
      </c>
      <c r="E13" s="3">
        <v>200</v>
      </c>
      <c r="F13" s="3">
        <v>213</v>
      </c>
      <c r="G13" s="3">
        <v>243</v>
      </c>
      <c r="H13" s="3">
        <v>247</v>
      </c>
      <c r="I13" s="3">
        <v>266</v>
      </c>
      <c r="J13" s="3">
        <v>379</v>
      </c>
    </row>
    <row r="14" spans="1:14" x14ac:dyDescent="0.25">
      <c r="A14" s="1" t="s">
        <v>32</v>
      </c>
      <c r="B14" s="2" t="s">
        <v>33</v>
      </c>
      <c r="C14" s="3">
        <v>190</v>
      </c>
      <c r="D14" s="3">
        <v>201</v>
      </c>
      <c r="E14" s="3">
        <v>151</v>
      </c>
      <c r="F14" s="3">
        <v>152</v>
      </c>
      <c r="G14" s="3">
        <v>160</v>
      </c>
      <c r="H14" s="3">
        <v>159</v>
      </c>
      <c r="I14" s="3">
        <v>186</v>
      </c>
      <c r="J14" s="3">
        <v>289</v>
      </c>
    </row>
    <row r="15" spans="1:14" x14ac:dyDescent="0.25">
      <c r="A15" s="1" t="s">
        <v>34</v>
      </c>
      <c r="B15" s="2" t="s">
        <v>35</v>
      </c>
      <c r="C15" s="3">
        <v>20</v>
      </c>
      <c r="D15" s="3">
        <v>14</v>
      </c>
      <c r="E15" s="3">
        <v>16</v>
      </c>
      <c r="F15" s="3">
        <v>28</v>
      </c>
      <c r="G15" s="3">
        <v>17</v>
      </c>
      <c r="H15" s="3">
        <v>28</v>
      </c>
      <c r="I15" s="3">
        <v>36</v>
      </c>
      <c r="J15" s="3">
        <v>37</v>
      </c>
    </row>
    <row r="16" spans="1:14" x14ac:dyDescent="0.25">
      <c r="A16" s="1" t="s">
        <v>36</v>
      </c>
      <c r="B16" s="2" t="s">
        <v>37</v>
      </c>
      <c r="C16" s="3">
        <v>299</v>
      </c>
      <c r="D16" s="3">
        <v>181</v>
      </c>
      <c r="E16" s="3">
        <v>276</v>
      </c>
      <c r="F16" s="3">
        <v>257</v>
      </c>
      <c r="G16" s="3">
        <v>269</v>
      </c>
      <c r="H16" s="3">
        <v>289</v>
      </c>
      <c r="I16" s="3">
        <v>351</v>
      </c>
      <c r="J16" s="3">
        <v>373</v>
      </c>
    </row>
    <row r="17" spans="1:14" x14ac:dyDescent="0.25">
      <c r="A17" s="1" t="s">
        <v>38</v>
      </c>
      <c r="B17" s="2" t="s">
        <v>39</v>
      </c>
      <c r="C17" s="3">
        <v>371</v>
      </c>
      <c r="D17" s="3">
        <v>228</v>
      </c>
      <c r="E17" s="3">
        <v>448</v>
      </c>
      <c r="F17" s="3">
        <v>336</v>
      </c>
      <c r="G17" s="3">
        <v>377</v>
      </c>
      <c r="H17" s="3">
        <v>481</v>
      </c>
      <c r="I17" s="3">
        <v>634</v>
      </c>
      <c r="J17" s="3">
        <v>500</v>
      </c>
    </row>
    <row r="18" spans="1:14" x14ac:dyDescent="0.25">
      <c r="A18" s="1" t="s">
        <v>40</v>
      </c>
      <c r="B18" s="2" t="s">
        <v>41</v>
      </c>
      <c r="C18" s="3">
        <v>3647</v>
      </c>
      <c r="D18" s="3">
        <v>1942</v>
      </c>
      <c r="E18" s="3">
        <v>3164</v>
      </c>
      <c r="F18" s="3">
        <v>3096</v>
      </c>
      <c r="G18" s="3">
        <v>3525</v>
      </c>
      <c r="H18" s="3">
        <v>3560</v>
      </c>
      <c r="I18" s="3">
        <v>3631</v>
      </c>
      <c r="J18" s="3">
        <v>4671</v>
      </c>
    </row>
    <row r="19" spans="1:14" x14ac:dyDescent="0.25">
      <c r="A19" s="1" t="s">
        <v>42</v>
      </c>
      <c r="B19" s="2" t="s">
        <v>43</v>
      </c>
      <c r="C19" s="3">
        <v>129</v>
      </c>
      <c r="D19" s="3">
        <v>81</v>
      </c>
      <c r="E19" s="3">
        <v>126</v>
      </c>
      <c r="F19" s="3">
        <v>97</v>
      </c>
      <c r="G19" s="3">
        <v>100</v>
      </c>
      <c r="H19" s="3">
        <v>133</v>
      </c>
      <c r="I19" s="3">
        <v>190</v>
      </c>
      <c r="J19" s="3">
        <v>165</v>
      </c>
    </row>
    <row r="20" spans="1:14" x14ac:dyDescent="0.25">
      <c r="A20" s="1" t="s">
        <v>44</v>
      </c>
      <c r="B20" s="2" t="s">
        <v>45</v>
      </c>
      <c r="C20" s="3">
        <v>189</v>
      </c>
      <c r="D20" s="3">
        <v>118</v>
      </c>
      <c r="E20" s="3">
        <v>217</v>
      </c>
      <c r="F20" s="3">
        <v>169</v>
      </c>
      <c r="G20" s="3">
        <v>149</v>
      </c>
      <c r="H20" s="3">
        <v>210</v>
      </c>
      <c r="I20" s="3">
        <v>353</v>
      </c>
      <c r="J20" s="3">
        <v>263</v>
      </c>
    </row>
    <row r="21" spans="1:14" x14ac:dyDescent="0.25">
      <c r="A21" s="1" t="s">
        <v>46</v>
      </c>
      <c r="B21" s="2" t="s">
        <v>485</v>
      </c>
      <c r="C21" s="3">
        <v>117</v>
      </c>
      <c r="D21" s="3">
        <v>78</v>
      </c>
      <c r="E21" s="3">
        <v>128</v>
      </c>
      <c r="F21" s="3">
        <v>109</v>
      </c>
      <c r="G21" s="3">
        <v>101</v>
      </c>
      <c r="H21" s="3">
        <v>133</v>
      </c>
      <c r="I21" s="3">
        <v>235</v>
      </c>
      <c r="J21" s="3">
        <v>168</v>
      </c>
    </row>
    <row r="22" spans="1:14" customFormat="1" ht="14.4" x14ac:dyDescent="0.3">
      <c r="A22" s="8" t="s">
        <v>46</v>
      </c>
      <c r="B22" s="9" t="s">
        <v>47</v>
      </c>
      <c r="C22" s="9">
        <v>195</v>
      </c>
      <c r="D22" s="9">
        <v>209</v>
      </c>
      <c r="E22" s="9">
        <v>194</v>
      </c>
      <c r="F22" s="9">
        <v>243</v>
      </c>
      <c r="G22" s="9">
        <v>179</v>
      </c>
      <c r="H22" s="9">
        <v>246</v>
      </c>
      <c r="I22" s="9">
        <v>388</v>
      </c>
      <c r="J22" s="10">
        <v>221</v>
      </c>
      <c r="K22" s="11"/>
      <c r="L22" s="12"/>
      <c r="M22" s="12"/>
      <c r="N22" s="12"/>
    </row>
    <row r="23" spans="1:14" x14ac:dyDescent="0.25">
      <c r="A23" s="1" t="s">
        <v>48</v>
      </c>
      <c r="B23" s="2" t="s">
        <v>49</v>
      </c>
      <c r="C23" s="3">
        <v>120</v>
      </c>
      <c r="D23" s="3">
        <v>108</v>
      </c>
      <c r="E23" s="3">
        <v>137</v>
      </c>
      <c r="F23" s="3">
        <v>103</v>
      </c>
      <c r="G23" s="3">
        <v>110</v>
      </c>
      <c r="H23" s="3">
        <v>150</v>
      </c>
      <c r="I23" s="3">
        <v>240</v>
      </c>
      <c r="J23" s="3">
        <v>187</v>
      </c>
    </row>
    <row r="24" spans="1:14" x14ac:dyDescent="0.25">
      <c r="A24" s="1" t="s">
        <v>50</v>
      </c>
      <c r="B24" s="2" t="s">
        <v>51</v>
      </c>
      <c r="C24" s="3">
        <v>106</v>
      </c>
      <c r="D24" s="3">
        <v>69</v>
      </c>
      <c r="E24" s="3">
        <v>121</v>
      </c>
      <c r="F24" s="3">
        <v>71</v>
      </c>
      <c r="G24" s="3">
        <v>88</v>
      </c>
      <c r="H24" s="3">
        <v>128</v>
      </c>
      <c r="I24" s="3">
        <v>135</v>
      </c>
      <c r="J24" s="3">
        <v>132</v>
      </c>
    </row>
    <row r="25" spans="1:14" x14ac:dyDescent="0.25">
      <c r="A25" s="1" t="s">
        <v>52</v>
      </c>
      <c r="B25" s="2" t="s">
        <v>53</v>
      </c>
      <c r="C25" s="3">
        <v>22</v>
      </c>
      <c r="D25" s="3">
        <v>16</v>
      </c>
      <c r="E25" s="3">
        <v>18</v>
      </c>
      <c r="F25" s="3">
        <v>18</v>
      </c>
      <c r="G25" s="3">
        <v>22</v>
      </c>
      <c r="H25" s="3">
        <v>16</v>
      </c>
      <c r="I25" s="3">
        <v>22</v>
      </c>
      <c r="J25" s="3">
        <v>20</v>
      </c>
    </row>
    <row r="26" spans="1:14" x14ac:dyDescent="0.25">
      <c r="A26" s="1" t="s">
        <v>54</v>
      </c>
      <c r="B26" s="2" t="s">
        <v>55</v>
      </c>
      <c r="C26" s="3">
        <v>288</v>
      </c>
      <c r="D26" s="3">
        <v>166</v>
      </c>
      <c r="E26" s="3">
        <v>272</v>
      </c>
      <c r="F26" s="3">
        <v>224</v>
      </c>
      <c r="G26" s="3">
        <v>277</v>
      </c>
      <c r="H26" s="3">
        <v>337</v>
      </c>
      <c r="I26" s="3">
        <v>517</v>
      </c>
      <c r="J26" s="3">
        <v>399</v>
      </c>
    </row>
    <row r="27" spans="1:14" x14ac:dyDescent="0.25">
      <c r="A27" s="1" t="s">
        <v>56</v>
      </c>
      <c r="B27" s="2" t="s">
        <v>57</v>
      </c>
      <c r="C27" s="3">
        <v>1379</v>
      </c>
      <c r="D27" s="3">
        <v>982</v>
      </c>
      <c r="E27" s="3">
        <v>1282</v>
      </c>
      <c r="F27" s="3">
        <v>1193</v>
      </c>
      <c r="G27" s="3">
        <v>1117</v>
      </c>
      <c r="H27" s="3">
        <v>1460</v>
      </c>
      <c r="I27" s="3">
        <v>2100</v>
      </c>
      <c r="J27" s="3">
        <v>1685</v>
      </c>
    </row>
    <row r="28" spans="1:14" x14ac:dyDescent="0.25">
      <c r="A28" s="1" t="s">
        <v>58</v>
      </c>
      <c r="B28" s="2" t="s">
        <v>59</v>
      </c>
      <c r="C28" s="3">
        <v>1194</v>
      </c>
      <c r="D28" s="3">
        <v>708</v>
      </c>
      <c r="E28" s="3">
        <v>1230</v>
      </c>
      <c r="F28" s="3">
        <v>1030</v>
      </c>
      <c r="G28" s="3">
        <v>1033</v>
      </c>
      <c r="H28" s="3">
        <v>1250</v>
      </c>
      <c r="I28" s="3">
        <v>1707</v>
      </c>
      <c r="J28" s="3">
        <v>1349</v>
      </c>
    </row>
    <row r="29" spans="1:14" x14ac:dyDescent="0.25">
      <c r="A29" s="1" t="s">
        <v>60</v>
      </c>
      <c r="B29" s="2" t="s">
        <v>61</v>
      </c>
      <c r="C29" s="3">
        <v>3139</v>
      </c>
      <c r="D29" s="3">
        <v>2913</v>
      </c>
      <c r="E29" s="3">
        <v>2988</v>
      </c>
      <c r="F29" s="3">
        <v>2857</v>
      </c>
      <c r="G29" s="3">
        <v>2906</v>
      </c>
      <c r="H29" s="3">
        <v>3297</v>
      </c>
      <c r="I29" s="3">
        <v>4208</v>
      </c>
      <c r="J29" s="3">
        <v>4628</v>
      </c>
    </row>
    <row r="30" spans="1:14" x14ac:dyDescent="0.25">
      <c r="A30" s="1" t="s">
        <v>62</v>
      </c>
      <c r="B30" s="2" t="s">
        <v>63</v>
      </c>
      <c r="C30" s="3">
        <v>268</v>
      </c>
      <c r="D30" s="3">
        <v>184</v>
      </c>
      <c r="E30" s="3">
        <v>272</v>
      </c>
      <c r="F30" s="3">
        <v>248</v>
      </c>
      <c r="G30" s="3">
        <v>177</v>
      </c>
      <c r="H30" s="3">
        <v>278</v>
      </c>
      <c r="I30" s="3">
        <v>528</v>
      </c>
      <c r="J30" s="3">
        <v>459</v>
      </c>
    </row>
    <row r="31" spans="1:14" x14ac:dyDescent="0.25">
      <c r="A31" s="1" t="s">
        <v>64</v>
      </c>
      <c r="B31" s="2" t="s">
        <v>65</v>
      </c>
      <c r="C31" s="3">
        <v>415</v>
      </c>
      <c r="D31" s="3">
        <v>334</v>
      </c>
      <c r="E31" s="3">
        <v>319</v>
      </c>
      <c r="F31" s="3">
        <v>358</v>
      </c>
      <c r="G31" s="3">
        <v>350</v>
      </c>
      <c r="H31" s="3">
        <v>361</v>
      </c>
      <c r="I31" s="3">
        <v>384</v>
      </c>
      <c r="J31" s="3">
        <v>516</v>
      </c>
    </row>
    <row r="32" spans="1:14" x14ac:dyDescent="0.25">
      <c r="A32" s="1" t="s">
        <v>66</v>
      </c>
      <c r="B32" s="2" t="s">
        <v>67</v>
      </c>
      <c r="C32" s="3">
        <v>327</v>
      </c>
      <c r="D32" s="3">
        <v>207</v>
      </c>
      <c r="E32" s="3">
        <v>314</v>
      </c>
      <c r="F32" s="3">
        <v>296</v>
      </c>
      <c r="G32" s="3">
        <v>297</v>
      </c>
      <c r="H32" s="3">
        <v>333</v>
      </c>
      <c r="I32" s="3">
        <v>404</v>
      </c>
      <c r="J32" s="3">
        <v>531</v>
      </c>
    </row>
    <row r="33" spans="1:10" x14ac:dyDescent="0.25">
      <c r="A33" s="1" t="s">
        <v>68</v>
      </c>
      <c r="B33" s="2" t="s">
        <v>69</v>
      </c>
      <c r="C33" s="3">
        <v>15</v>
      </c>
      <c r="D33" s="3">
        <v>18</v>
      </c>
      <c r="E33" s="3">
        <v>16</v>
      </c>
      <c r="F33" s="3">
        <v>13</v>
      </c>
      <c r="G33" s="3">
        <v>7</v>
      </c>
      <c r="H33" s="3">
        <v>21</v>
      </c>
      <c r="I33" s="3">
        <v>22</v>
      </c>
      <c r="J33" s="3">
        <v>15</v>
      </c>
    </row>
    <row r="34" spans="1:10" x14ac:dyDescent="0.25">
      <c r="A34" s="1" t="s">
        <v>70</v>
      </c>
      <c r="B34" s="2" t="s">
        <v>71</v>
      </c>
      <c r="C34" s="3">
        <v>3026</v>
      </c>
      <c r="D34" s="3">
        <v>2179</v>
      </c>
      <c r="E34" s="3">
        <v>3099</v>
      </c>
      <c r="F34" s="3">
        <v>2697</v>
      </c>
      <c r="G34" s="3">
        <v>2922</v>
      </c>
      <c r="H34" s="3">
        <v>3405</v>
      </c>
      <c r="I34" s="3">
        <v>4924</v>
      </c>
      <c r="J34" s="3">
        <v>5014</v>
      </c>
    </row>
    <row r="35" spans="1:10" x14ac:dyDescent="0.25">
      <c r="A35" s="1" t="s">
        <v>72</v>
      </c>
      <c r="B35" s="2" t="s">
        <v>73</v>
      </c>
      <c r="C35" s="3">
        <v>1306</v>
      </c>
      <c r="D35" s="3">
        <v>772</v>
      </c>
      <c r="E35" s="3">
        <v>1192</v>
      </c>
      <c r="F35" s="3">
        <v>1029</v>
      </c>
      <c r="G35" s="3">
        <v>986</v>
      </c>
      <c r="H35" s="3">
        <v>1247</v>
      </c>
      <c r="I35" s="3">
        <v>1858</v>
      </c>
      <c r="J35" s="3">
        <v>1585</v>
      </c>
    </row>
    <row r="36" spans="1:10" x14ac:dyDescent="0.25">
      <c r="A36" s="1" t="s">
        <v>74</v>
      </c>
      <c r="B36" s="2" t="s">
        <v>75</v>
      </c>
      <c r="C36" s="3">
        <v>512</v>
      </c>
      <c r="D36" s="3">
        <v>271</v>
      </c>
      <c r="E36" s="3">
        <v>427</v>
      </c>
      <c r="F36" s="3">
        <v>456</v>
      </c>
      <c r="G36" s="3">
        <v>447</v>
      </c>
      <c r="H36" s="3">
        <v>457</v>
      </c>
      <c r="I36" s="3">
        <v>567</v>
      </c>
      <c r="J36" s="3">
        <v>628</v>
      </c>
    </row>
    <row r="37" spans="1:10" x14ac:dyDescent="0.25">
      <c r="A37" s="1" t="s">
        <v>76</v>
      </c>
      <c r="B37" s="2" t="s">
        <v>77</v>
      </c>
      <c r="C37" s="3">
        <v>154</v>
      </c>
      <c r="D37" s="3">
        <v>94</v>
      </c>
      <c r="E37" s="3">
        <v>139</v>
      </c>
      <c r="F37" s="3">
        <v>110</v>
      </c>
      <c r="G37" s="3">
        <v>133</v>
      </c>
      <c r="H37" s="3">
        <v>138</v>
      </c>
      <c r="I37" s="3">
        <v>265</v>
      </c>
      <c r="J37" s="3">
        <v>220</v>
      </c>
    </row>
    <row r="38" spans="1:10" x14ac:dyDescent="0.25">
      <c r="A38" s="1" t="s">
        <v>78</v>
      </c>
      <c r="B38" s="2" t="s">
        <v>79</v>
      </c>
      <c r="C38" s="3">
        <v>11</v>
      </c>
      <c r="D38" s="3">
        <v>12</v>
      </c>
      <c r="E38" s="3">
        <v>13</v>
      </c>
      <c r="F38" s="3">
        <v>15</v>
      </c>
      <c r="G38" s="3">
        <v>15</v>
      </c>
      <c r="H38" s="3">
        <v>11</v>
      </c>
      <c r="I38" s="3">
        <v>34</v>
      </c>
      <c r="J38" s="3">
        <v>26</v>
      </c>
    </row>
    <row r="39" spans="1:10" x14ac:dyDescent="0.25">
      <c r="A39" s="1" t="s">
        <v>80</v>
      </c>
      <c r="B39" s="2" t="s">
        <v>81</v>
      </c>
      <c r="C39" s="3">
        <v>8</v>
      </c>
      <c r="D39" s="3">
        <v>11</v>
      </c>
      <c r="E39" s="3">
        <v>18</v>
      </c>
      <c r="F39" s="3">
        <v>9</v>
      </c>
      <c r="G39" s="3">
        <v>10</v>
      </c>
      <c r="H39" s="3">
        <v>14</v>
      </c>
      <c r="I39" s="3">
        <v>13</v>
      </c>
      <c r="J39" s="3">
        <v>15</v>
      </c>
    </row>
    <row r="40" spans="1:10" x14ac:dyDescent="0.25">
      <c r="A40" s="1" t="s">
        <v>82</v>
      </c>
      <c r="B40" s="2" t="s">
        <v>83</v>
      </c>
      <c r="C40" s="3">
        <v>580</v>
      </c>
      <c r="D40" s="3">
        <v>303</v>
      </c>
      <c r="E40" s="3">
        <v>518</v>
      </c>
      <c r="F40" s="3">
        <v>497</v>
      </c>
      <c r="G40" s="3">
        <v>537</v>
      </c>
      <c r="H40" s="3">
        <v>571</v>
      </c>
      <c r="I40" s="3">
        <v>603</v>
      </c>
      <c r="J40" s="3">
        <v>790</v>
      </c>
    </row>
    <row r="41" spans="1:10" x14ac:dyDescent="0.25">
      <c r="A41" s="1" t="s">
        <v>84</v>
      </c>
      <c r="B41" s="2" t="s">
        <v>85</v>
      </c>
      <c r="C41" s="3">
        <v>3239</v>
      </c>
      <c r="D41" s="3">
        <v>2003</v>
      </c>
      <c r="E41" s="3">
        <v>2724</v>
      </c>
      <c r="F41" s="3">
        <v>2653</v>
      </c>
      <c r="G41" s="3">
        <v>3117</v>
      </c>
      <c r="H41" s="3">
        <v>2868</v>
      </c>
      <c r="I41" s="3">
        <v>2828</v>
      </c>
      <c r="J41" s="3">
        <v>4626</v>
      </c>
    </row>
    <row r="42" spans="1:10" x14ac:dyDescent="0.25">
      <c r="A42" s="1" t="s">
        <v>86</v>
      </c>
      <c r="B42" s="2" t="s">
        <v>87</v>
      </c>
      <c r="C42" s="3">
        <v>241</v>
      </c>
      <c r="D42" s="3">
        <v>166</v>
      </c>
      <c r="E42" s="3">
        <v>259</v>
      </c>
      <c r="F42" s="3">
        <v>222</v>
      </c>
      <c r="G42" s="3">
        <v>201</v>
      </c>
      <c r="H42" s="3">
        <v>277</v>
      </c>
      <c r="I42" s="3">
        <v>399</v>
      </c>
      <c r="J42" s="3">
        <v>310</v>
      </c>
    </row>
    <row r="43" spans="1:10" x14ac:dyDescent="0.25">
      <c r="A43" s="1" t="s">
        <v>88</v>
      </c>
      <c r="B43" s="2" t="s">
        <v>89</v>
      </c>
      <c r="C43" s="3">
        <v>1543</v>
      </c>
      <c r="D43" s="3">
        <v>965</v>
      </c>
      <c r="E43" s="3">
        <v>1315</v>
      </c>
      <c r="F43" s="3">
        <v>1167</v>
      </c>
      <c r="G43" s="3">
        <v>1382</v>
      </c>
      <c r="H43" s="3">
        <v>1283</v>
      </c>
      <c r="I43" s="3">
        <v>1268</v>
      </c>
      <c r="J43" s="3">
        <v>1829</v>
      </c>
    </row>
    <row r="44" spans="1:10" x14ac:dyDescent="0.25">
      <c r="A44" s="1" t="s">
        <v>90</v>
      </c>
      <c r="B44" s="2" t="s">
        <v>91</v>
      </c>
      <c r="C44" s="3">
        <v>4</v>
      </c>
      <c r="D44" s="3">
        <v>5</v>
      </c>
      <c r="E44" s="3">
        <v>6</v>
      </c>
      <c r="F44" s="3">
        <v>6</v>
      </c>
      <c r="G44" s="3">
        <v>12</v>
      </c>
      <c r="H44" s="3">
        <v>10</v>
      </c>
      <c r="I44" s="3">
        <v>13</v>
      </c>
      <c r="J44" s="3">
        <v>17</v>
      </c>
    </row>
    <row r="45" spans="1:10" x14ac:dyDescent="0.25">
      <c r="A45" s="1" t="s">
        <v>92</v>
      </c>
      <c r="B45" s="2" t="s">
        <v>93</v>
      </c>
      <c r="C45" s="3">
        <v>6</v>
      </c>
      <c r="D45" s="3">
        <v>7</v>
      </c>
      <c r="E45" s="3">
        <v>16</v>
      </c>
      <c r="F45" s="3">
        <v>10</v>
      </c>
      <c r="G45" s="3">
        <v>6</v>
      </c>
      <c r="H45" s="3">
        <v>12</v>
      </c>
      <c r="I45" s="3">
        <v>14</v>
      </c>
      <c r="J45" s="3">
        <v>9</v>
      </c>
    </row>
    <row r="46" spans="1:10" x14ac:dyDescent="0.25">
      <c r="A46" s="1" t="s">
        <v>94</v>
      </c>
      <c r="B46" s="2" t="s">
        <v>95</v>
      </c>
      <c r="C46" s="3">
        <v>876</v>
      </c>
      <c r="D46" s="3">
        <v>523</v>
      </c>
      <c r="E46" s="3">
        <v>881</v>
      </c>
      <c r="F46" s="3">
        <v>799</v>
      </c>
      <c r="G46" s="3">
        <v>843</v>
      </c>
      <c r="H46" s="3">
        <v>947</v>
      </c>
      <c r="I46" s="3">
        <v>943</v>
      </c>
      <c r="J46" s="3">
        <v>1020</v>
      </c>
    </row>
    <row r="47" spans="1:10" x14ac:dyDescent="0.25">
      <c r="A47" s="1" t="s">
        <v>96</v>
      </c>
      <c r="B47" s="2" t="s">
        <v>97</v>
      </c>
      <c r="C47" s="3">
        <v>174</v>
      </c>
      <c r="D47" s="3">
        <v>107</v>
      </c>
      <c r="E47" s="3">
        <v>151</v>
      </c>
      <c r="F47" s="3">
        <v>154</v>
      </c>
      <c r="G47" s="3">
        <v>155</v>
      </c>
      <c r="H47" s="3">
        <v>158</v>
      </c>
      <c r="I47" s="3">
        <v>183</v>
      </c>
      <c r="J47" s="3">
        <v>288</v>
      </c>
    </row>
    <row r="48" spans="1:10" x14ac:dyDescent="0.25">
      <c r="A48" s="1" t="s">
        <v>98</v>
      </c>
      <c r="B48" s="2" t="s">
        <v>99</v>
      </c>
      <c r="C48" s="3">
        <v>353</v>
      </c>
      <c r="D48" s="3">
        <v>198</v>
      </c>
      <c r="E48" s="3">
        <v>358</v>
      </c>
      <c r="F48" s="3">
        <v>309</v>
      </c>
      <c r="G48" s="3">
        <v>287</v>
      </c>
      <c r="H48" s="3">
        <v>371</v>
      </c>
      <c r="I48" s="3">
        <v>613</v>
      </c>
      <c r="J48" s="3">
        <v>506</v>
      </c>
    </row>
    <row r="49" spans="1:10" x14ac:dyDescent="0.25">
      <c r="A49" s="1" t="s">
        <v>100</v>
      </c>
      <c r="B49" s="2" t="s">
        <v>101</v>
      </c>
      <c r="C49" s="3">
        <v>904</v>
      </c>
      <c r="D49" s="3">
        <v>660</v>
      </c>
      <c r="E49" s="3">
        <v>965</v>
      </c>
      <c r="F49" s="3">
        <v>871</v>
      </c>
      <c r="G49" s="3">
        <v>750</v>
      </c>
      <c r="H49" s="3">
        <v>1124</v>
      </c>
      <c r="I49" s="3">
        <v>1373</v>
      </c>
      <c r="J49" s="3">
        <v>1225</v>
      </c>
    </row>
    <row r="50" spans="1:10" x14ac:dyDescent="0.25">
      <c r="A50" s="1" t="s">
        <v>102</v>
      </c>
      <c r="B50" s="2" t="s">
        <v>103</v>
      </c>
      <c r="C50" s="3">
        <v>16</v>
      </c>
      <c r="D50" s="3">
        <v>12</v>
      </c>
      <c r="E50" s="3">
        <v>13</v>
      </c>
      <c r="F50" s="3">
        <v>14</v>
      </c>
      <c r="G50" s="3">
        <v>11</v>
      </c>
      <c r="H50" s="3">
        <v>10</v>
      </c>
      <c r="I50" s="3">
        <v>20</v>
      </c>
      <c r="J50" s="3">
        <v>15</v>
      </c>
    </row>
    <row r="51" spans="1:10" x14ac:dyDescent="0.25">
      <c r="A51" s="1" t="s">
        <v>104</v>
      </c>
      <c r="B51" s="2" t="s">
        <v>105</v>
      </c>
      <c r="C51" s="3">
        <v>669</v>
      </c>
      <c r="D51" s="3">
        <v>366</v>
      </c>
      <c r="E51" s="3">
        <v>541</v>
      </c>
      <c r="F51" s="3">
        <v>617</v>
      </c>
      <c r="G51" s="3">
        <v>639</v>
      </c>
      <c r="H51" s="3">
        <v>666</v>
      </c>
      <c r="I51" s="3">
        <v>881</v>
      </c>
      <c r="J51" s="3">
        <v>941</v>
      </c>
    </row>
    <row r="52" spans="1:10" x14ac:dyDescent="0.25">
      <c r="A52" s="1" t="s">
        <v>106</v>
      </c>
      <c r="B52" s="2" t="s">
        <v>107</v>
      </c>
      <c r="C52" s="3">
        <v>1853</v>
      </c>
      <c r="D52" s="3">
        <v>1273</v>
      </c>
      <c r="E52" s="3">
        <v>2088</v>
      </c>
      <c r="F52" s="3">
        <v>1616</v>
      </c>
      <c r="G52" s="3">
        <v>1498</v>
      </c>
      <c r="H52" s="3">
        <v>2206</v>
      </c>
      <c r="I52" s="3">
        <v>3733</v>
      </c>
      <c r="J52" s="3">
        <v>2836</v>
      </c>
    </row>
    <row r="53" spans="1:10" x14ac:dyDescent="0.25">
      <c r="A53" s="1" t="s">
        <v>108</v>
      </c>
      <c r="B53" s="2" t="s">
        <v>109</v>
      </c>
      <c r="C53" s="3">
        <v>13</v>
      </c>
      <c r="D53" s="3">
        <v>7</v>
      </c>
      <c r="E53" s="3">
        <v>9</v>
      </c>
      <c r="F53" s="3">
        <v>14</v>
      </c>
      <c r="G53" s="3">
        <v>15</v>
      </c>
      <c r="H53" s="3">
        <v>8</v>
      </c>
      <c r="I53" s="3">
        <v>12</v>
      </c>
      <c r="J53" s="3">
        <v>8</v>
      </c>
    </row>
    <row r="54" spans="1:10" x14ac:dyDescent="0.25">
      <c r="A54" s="1" t="s">
        <v>110</v>
      </c>
      <c r="B54" s="2" t="s">
        <v>111</v>
      </c>
      <c r="C54" s="3">
        <v>14</v>
      </c>
      <c r="D54" s="3">
        <v>7</v>
      </c>
      <c r="E54" s="3">
        <v>13</v>
      </c>
      <c r="F54" s="3">
        <v>11</v>
      </c>
      <c r="G54" s="3">
        <v>11</v>
      </c>
      <c r="H54" s="3">
        <v>14</v>
      </c>
      <c r="I54" s="3">
        <v>14</v>
      </c>
      <c r="J54" s="3">
        <v>18</v>
      </c>
    </row>
    <row r="55" spans="1:10" x14ac:dyDescent="0.25">
      <c r="A55" s="1" t="s">
        <v>112</v>
      </c>
      <c r="B55" s="2" t="s">
        <v>113</v>
      </c>
      <c r="C55" s="3">
        <v>31</v>
      </c>
      <c r="D55" s="3">
        <v>20</v>
      </c>
      <c r="E55" s="3">
        <v>19</v>
      </c>
      <c r="F55" s="3">
        <v>21</v>
      </c>
      <c r="G55" s="3">
        <v>8</v>
      </c>
      <c r="H55" s="3">
        <v>27</v>
      </c>
      <c r="I55" s="3">
        <v>26</v>
      </c>
      <c r="J55" s="3">
        <v>23</v>
      </c>
    </row>
    <row r="56" spans="1:10" x14ac:dyDescent="0.25">
      <c r="A56" s="1" t="s">
        <v>114</v>
      </c>
      <c r="B56" s="2" t="s">
        <v>115</v>
      </c>
      <c r="C56" s="3">
        <v>8</v>
      </c>
      <c r="D56" s="3">
        <v>5</v>
      </c>
      <c r="E56" s="3">
        <v>10</v>
      </c>
      <c r="F56" s="3">
        <v>8</v>
      </c>
      <c r="G56" s="3">
        <v>13</v>
      </c>
      <c r="H56" s="3">
        <v>8</v>
      </c>
      <c r="I56" s="3">
        <v>14</v>
      </c>
      <c r="J56" s="3">
        <v>13</v>
      </c>
    </row>
    <row r="57" spans="1:10" x14ac:dyDescent="0.25">
      <c r="A57" s="1" t="s">
        <v>116</v>
      </c>
      <c r="B57" s="2" t="s">
        <v>117</v>
      </c>
      <c r="C57" s="3">
        <v>10</v>
      </c>
      <c r="D57" s="3">
        <v>4</v>
      </c>
      <c r="E57" s="3">
        <v>7</v>
      </c>
      <c r="F57" s="3">
        <v>11</v>
      </c>
      <c r="G57" s="3">
        <v>7</v>
      </c>
      <c r="H57" s="3">
        <v>6</v>
      </c>
      <c r="I57" s="3">
        <v>5</v>
      </c>
      <c r="J57" s="3">
        <v>12</v>
      </c>
    </row>
    <row r="58" spans="1:10" x14ac:dyDescent="0.25">
      <c r="A58" s="1" t="s">
        <v>118</v>
      </c>
      <c r="B58" s="2" t="s">
        <v>119</v>
      </c>
      <c r="C58" s="3">
        <v>809</v>
      </c>
      <c r="D58" s="3">
        <v>645</v>
      </c>
      <c r="E58" s="3">
        <v>743</v>
      </c>
      <c r="F58" s="3">
        <v>755</v>
      </c>
      <c r="G58" s="3">
        <v>746</v>
      </c>
      <c r="H58" s="3">
        <v>754</v>
      </c>
      <c r="I58" s="3">
        <v>820</v>
      </c>
      <c r="J58" s="3">
        <v>1005</v>
      </c>
    </row>
    <row r="59" spans="1:10" x14ac:dyDescent="0.25">
      <c r="A59" s="1" t="s">
        <v>120</v>
      </c>
      <c r="B59" s="2" t="s">
        <v>121</v>
      </c>
      <c r="C59" s="3">
        <v>392</v>
      </c>
      <c r="D59" s="3">
        <v>200</v>
      </c>
      <c r="E59" s="3">
        <v>457</v>
      </c>
      <c r="F59" s="3">
        <v>336</v>
      </c>
      <c r="G59" s="3">
        <v>391</v>
      </c>
      <c r="H59" s="3">
        <v>489</v>
      </c>
      <c r="I59" s="3">
        <v>727</v>
      </c>
      <c r="J59" s="3">
        <v>669</v>
      </c>
    </row>
    <row r="60" spans="1:10" x14ac:dyDescent="0.25">
      <c r="A60" s="1" t="s">
        <v>122</v>
      </c>
      <c r="B60" s="2" t="s">
        <v>123</v>
      </c>
      <c r="C60" s="3">
        <v>171</v>
      </c>
      <c r="D60" s="3">
        <v>161</v>
      </c>
      <c r="E60" s="3">
        <v>172</v>
      </c>
      <c r="F60" s="3">
        <v>155</v>
      </c>
      <c r="G60" s="3">
        <v>128</v>
      </c>
      <c r="H60" s="3">
        <v>174</v>
      </c>
      <c r="I60" s="3">
        <v>392</v>
      </c>
      <c r="J60" s="3">
        <v>250</v>
      </c>
    </row>
    <row r="61" spans="1:10" x14ac:dyDescent="0.25">
      <c r="A61" s="1" t="s">
        <v>124</v>
      </c>
      <c r="B61" s="2" t="s">
        <v>125</v>
      </c>
      <c r="C61" s="3">
        <v>1802</v>
      </c>
      <c r="D61" s="3">
        <v>1195</v>
      </c>
      <c r="E61" s="3">
        <v>1883</v>
      </c>
      <c r="F61" s="3">
        <v>1546</v>
      </c>
      <c r="G61" s="3">
        <v>1515</v>
      </c>
      <c r="H61" s="3">
        <v>2026</v>
      </c>
      <c r="I61" s="3">
        <v>3021</v>
      </c>
      <c r="J61" s="3">
        <v>2664</v>
      </c>
    </row>
    <row r="62" spans="1:10" x14ac:dyDescent="0.25">
      <c r="A62" s="1" t="s">
        <v>126</v>
      </c>
      <c r="B62" s="2" t="s">
        <v>127</v>
      </c>
      <c r="C62" s="3">
        <v>8</v>
      </c>
      <c r="D62" s="3">
        <v>4</v>
      </c>
      <c r="E62" s="3">
        <v>5</v>
      </c>
      <c r="F62" s="3">
        <v>4</v>
      </c>
      <c r="G62" s="3">
        <v>5</v>
      </c>
      <c r="H62" s="3">
        <v>5</v>
      </c>
      <c r="I62" s="3">
        <v>6</v>
      </c>
      <c r="J62" s="3">
        <v>10</v>
      </c>
    </row>
    <row r="63" spans="1:10" x14ac:dyDescent="0.25">
      <c r="A63" s="1" t="s">
        <v>128</v>
      </c>
      <c r="B63" s="2" t="s">
        <v>129</v>
      </c>
      <c r="C63" s="3">
        <v>504</v>
      </c>
      <c r="D63" s="3">
        <v>316</v>
      </c>
      <c r="E63" s="3">
        <v>411</v>
      </c>
      <c r="F63" s="3">
        <v>407</v>
      </c>
      <c r="G63" s="3">
        <v>466</v>
      </c>
      <c r="H63" s="3">
        <v>502</v>
      </c>
      <c r="I63" s="3">
        <v>456</v>
      </c>
      <c r="J63" s="3">
        <v>640</v>
      </c>
    </row>
    <row r="64" spans="1:10" x14ac:dyDescent="0.25">
      <c r="A64" s="5" t="s">
        <v>130</v>
      </c>
      <c r="B64" s="2" t="s">
        <v>131</v>
      </c>
      <c r="C64" s="3">
        <v>30</v>
      </c>
      <c r="D64" s="3">
        <v>37</v>
      </c>
      <c r="E64" s="3">
        <v>43</v>
      </c>
      <c r="F64" s="3">
        <v>31</v>
      </c>
      <c r="G64" s="3">
        <v>45</v>
      </c>
      <c r="H64" s="3">
        <v>33</v>
      </c>
      <c r="I64" s="3">
        <v>44</v>
      </c>
      <c r="J64" s="3">
        <v>54</v>
      </c>
    </row>
    <row r="65" spans="1:10" x14ac:dyDescent="0.25">
      <c r="A65" s="1" t="s">
        <v>132</v>
      </c>
      <c r="B65" s="2" t="s">
        <v>133</v>
      </c>
      <c r="C65" s="3">
        <v>27</v>
      </c>
      <c r="D65" s="3">
        <v>16</v>
      </c>
      <c r="E65" s="3">
        <v>20</v>
      </c>
      <c r="F65" s="3">
        <v>24</v>
      </c>
      <c r="G65" s="3">
        <v>32</v>
      </c>
      <c r="H65" s="3">
        <v>25</v>
      </c>
      <c r="I65" s="3">
        <v>33</v>
      </c>
      <c r="J65" s="3">
        <v>37</v>
      </c>
    </row>
    <row r="66" spans="1:10" x14ac:dyDescent="0.25">
      <c r="A66" s="1" t="s">
        <v>134</v>
      </c>
      <c r="B66" s="2" t="s">
        <v>135</v>
      </c>
      <c r="C66" s="3">
        <v>1269</v>
      </c>
      <c r="D66" s="3">
        <v>944</v>
      </c>
      <c r="E66" s="3">
        <v>1240</v>
      </c>
      <c r="F66" s="3">
        <v>1184</v>
      </c>
      <c r="G66" s="3">
        <v>1180</v>
      </c>
      <c r="H66" s="3">
        <v>1429</v>
      </c>
      <c r="I66" s="3">
        <v>2007</v>
      </c>
      <c r="J66" s="3">
        <v>1982</v>
      </c>
    </row>
    <row r="67" spans="1:10" x14ac:dyDescent="0.25">
      <c r="A67" s="1" t="s">
        <v>136</v>
      </c>
      <c r="B67" s="2" t="s">
        <v>137</v>
      </c>
      <c r="C67" s="3">
        <v>17</v>
      </c>
      <c r="D67" s="3">
        <v>8</v>
      </c>
      <c r="E67" s="3">
        <v>15</v>
      </c>
      <c r="F67" s="3">
        <v>13</v>
      </c>
      <c r="G67" s="3">
        <v>7</v>
      </c>
      <c r="H67" s="3">
        <v>11</v>
      </c>
      <c r="I67" s="3">
        <v>20</v>
      </c>
      <c r="J67" s="3">
        <v>29</v>
      </c>
    </row>
    <row r="68" spans="1:10" x14ac:dyDescent="0.25">
      <c r="A68" s="1" t="s">
        <v>138</v>
      </c>
      <c r="B68" s="2" t="s">
        <v>139</v>
      </c>
      <c r="C68" s="3">
        <v>40</v>
      </c>
      <c r="D68" s="3">
        <v>15</v>
      </c>
      <c r="E68" s="3">
        <v>38</v>
      </c>
      <c r="F68" s="3">
        <v>20</v>
      </c>
      <c r="G68" s="3">
        <v>24</v>
      </c>
      <c r="H68" s="3">
        <v>29</v>
      </c>
      <c r="I68" s="3">
        <v>58</v>
      </c>
      <c r="J68" s="3">
        <v>38</v>
      </c>
    </row>
    <row r="69" spans="1:10" x14ac:dyDescent="0.25">
      <c r="A69" s="1" t="s">
        <v>140</v>
      </c>
      <c r="B69" s="2" t="s">
        <v>141</v>
      </c>
      <c r="C69" s="3">
        <v>521</v>
      </c>
      <c r="D69" s="3">
        <v>334</v>
      </c>
      <c r="E69" s="3">
        <v>425</v>
      </c>
      <c r="F69" s="3">
        <v>392</v>
      </c>
      <c r="G69" s="3">
        <v>398</v>
      </c>
      <c r="H69" s="3">
        <v>437</v>
      </c>
      <c r="I69" s="3">
        <v>535</v>
      </c>
      <c r="J69" s="3">
        <v>646</v>
      </c>
    </row>
    <row r="70" spans="1:10" x14ac:dyDescent="0.25">
      <c r="A70" s="1" t="s">
        <v>142</v>
      </c>
      <c r="B70" s="2" t="s">
        <v>143</v>
      </c>
      <c r="C70" s="3">
        <v>56</v>
      </c>
      <c r="D70" s="3">
        <v>47</v>
      </c>
      <c r="E70" s="3">
        <v>51</v>
      </c>
      <c r="F70" s="3">
        <v>44</v>
      </c>
      <c r="G70" s="3">
        <v>51</v>
      </c>
      <c r="H70" s="3">
        <v>52</v>
      </c>
      <c r="I70" s="3">
        <v>95</v>
      </c>
      <c r="J70" s="3">
        <v>79</v>
      </c>
    </row>
    <row r="71" spans="1:10" x14ac:dyDescent="0.25">
      <c r="A71" s="1" t="s">
        <v>144</v>
      </c>
      <c r="B71" s="2" t="s">
        <v>145</v>
      </c>
      <c r="C71" s="3">
        <v>13</v>
      </c>
      <c r="D71" s="3">
        <v>6</v>
      </c>
      <c r="E71" s="3">
        <v>9</v>
      </c>
      <c r="F71" s="3">
        <v>6</v>
      </c>
      <c r="G71" s="3">
        <v>11</v>
      </c>
      <c r="H71" s="3">
        <v>6</v>
      </c>
      <c r="I71" s="3">
        <v>10</v>
      </c>
      <c r="J71" s="3">
        <v>18</v>
      </c>
    </row>
    <row r="72" spans="1:10" x14ac:dyDescent="0.25">
      <c r="A72" s="1" t="s">
        <v>146</v>
      </c>
      <c r="B72" s="2" t="s">
        <v>147</v>
      </c>
      <c r="C72" s="3">
        <v>213</v>
      </c>
      <c r="D72" s="3">
        <v>106</v>
      </c>
      <c r="E72" s="3">
        <v>191</v>
      </c>
      <c r="F72" s="3">
        <v>221</v>
      </c>
      <c r="G72" s="3">
        <v>230</v>
      </c>
      <c r="H72" s="3">
        <v>224</v>
      </c>
      <c r="I72" s="3">
        <v>236</v>
      </c>
      <c r="J72" s="3">
        <v>296</v>
      </c>
    </row>
    <row r="73" spans="1:10" x14ac:dyDescent="0.25">
      <c r="A73" s="1" t="s">
        <v>148</v>
      </c>
      <c r="B73" s="2" t="s">
        <v>149</v>
      </c>
      <c r="C73" s="3">
        <v>68</v>
      </c>
      <c r="D73" s="3">
        <v>46</v>
      </c>
      <c r="E73" s="3">
        <v>79</v>
      </c>
      <c r="F73" s="3">
        <v>56</v>
      </c>
      <c r="G73" s="3">
        <v>54</v>
      </c>
      <c r="H73" s="3">
        <v>64</v>
      </c>
      <c r="I73" s="3">
        <v>142</v>
      </c>
      <c r="J73" s="3">
        <v>90</v>
      </c>
    </row>
    <row r="74" spans="1:10" x14ac:dyDescent="0.25">
      <c r="A74" s="1" t="s">
        <v>150</v>
      </c>
      <c r="B74" s="2" t="s">
        <v>151</v>
      </c>
      <c r="C74" s="3">
        <v>11</v>
      </c>
      <c r="D74" s="3">
        <v>10</v>
      </c>
      <c r="E74" s="3">
        <v>17</v>
      </c>
      <c r="F74" s="3">
        <v>14</v>
      </c>
      <c r="G74" s="3">
        <v>8</v>
      </c>
      <c r="H74" s="3">
        <v>13</v>
      </c>
      <c r="I74" s="3">
        <v>12</v>
      </c>
      <c r="J74" s="3">
        <v>19</v>
      </c>
    </row>
    <row r="75" spans="1:10" x14ac:dyDescent="0.25">
      <c r="A75" s="1" t="s">
        <v>152</v>
      </c>
      <c r="B75" s="2" t="s">
        <v>153</v>
      </c>
      <c r="C75" s="3">
        <v>894</v>
      </c>
      <c r="D75" s="3">
        <v>567</v>
      </c>
      <c r="E75" s="3">
        <v>975</v>
      </c>
      <c r="F75" s="3">
        <v>869</v>
      </c>
      <c r="G75" s="3">
        <v>907</v>
      </c>
      <c r="H75" s="3">
        <v>991</v>
      </c>
      <c r="I75" s="3">
        <v>1384</v>
      </c>
      <c r="J75" s="3">
        <v>1376</v>
      </c>
    </row>
    <row r="76" spans="1:10" x14ac:dyDescent="0.25">
      <c r="A76" s="1" t="s">
        <v>154</v>
      </c>
      <c r="B76" s="2" t="s">
        <v>155</v>
      </c>
      <c r="C76" s="3">
        <v>296</v>
      </c>
      <c r="D76" s="3">
        <v>222</v>
      </c>
      <c r="E76" s="3">
        <v>357</v>
      </c>
      <c r="F76" s="3">
        <v>315</v>
      </c>
      <c r="G76" s="3">
        <v>343</v>
      </c>
      <c r="H76" s="3">
        <v>363</v>
      </c>
      <c r="I76" s="3">
        <v>444</v>
      </c>
      <c r="J76" s="3">
        <v>502</v>
      </c>
    </row>
    <row r="77" spans="1:10" x14ac:dyDescent="0.25">
      <c r="A77" s="1" t="s">
        <v>156</v>
      </c>
      <c r="B77" s="2" t="s">
        <v>157</v>
      </c>
      <c r="C77" s="3">
        <v>45</v>
      </c>
      <c r="D77" s="3">
        <v>49</v>
      </c>
      <c r="E77" s="3">
        <v>64</v>
      </c>
      <c r="F77" s="3">
        <v>48</v>
      </c>
      <c r="G77" s="3">
        <v>32</v>
      </c>
      <c r="H77" s="3">
        <v>58</v>
      </c>
      <c r="I77" s="3">
        <v>81</v>
      </c>
      <c r="J77" s="3">
        <v>94</v>
      </c>
    </row>
    <row r="78" spans="1:10" x14ac:dyDescent="0.25">
      <c r="A78" s="1" t="s">
        <v>158</v>
      </c>
      <c r="B78" s="2" t="s">
        <v>159</v>
      </c>
      <c r="C78" s="3">
        <v>162</v>
      </c>
      <c r="D78" s="3">
        <v>92</v>
      </c>
      <c r="E78" s="3">
        <v>174</v>
      </c>
      <c r="F78" s="3">
        <v>175</v>
      </c>
      <c r="G78" s="3">
        <v>191</v>
      </c>
      <c r="H78" s="3">
        <v>178</v>
      </c>
      <c r="I78" s="3">
        <v>332</v>
      </c>
      <c r="J78" s="3">
        <v>286</v>
      </c>
    </row>
    <row r="79" spans="1:10" x14ac:dyDescent="0.25">
      <c r="A79" s="1" t="s">
        <v>160</v>
      </c>
      <c r="B79" s="2" t="s">
        <v>161</v>
      </c>
      <c r="C79" s="3">
        <v>478</v>
      </c>
      <c r="D79" s="3">
        <v>329</v>
      </c>
      <c r="E79" s="3">
        <v>413</v>
      </c>
      <c r="F79" s="3">
        <v>408</v>
      </c>
      <c r="G79" s="3">
        <v>459</v>
      </c>
      <c r="H79" s="3">
        <v>483</v>
      </c>
      <c r="I79" s="3">
        <v>501</v>
      </c>
      <c r="J79" s="3">
        <v>622</v>
      </c>
    </row>
    <row r="80" spans="1:10" x14ac:dyDescent="0.25">
      <c r="A80" s="1" t="s">
        <v>162</v>
      </c>
      <c r="B80" s="2" t="s">
        <v>163</v>
      </c>
      <c r="C80" s="3">
        <v>70</v>
      </c>
      <c r="D80" s="3">
        <v>68</v>
      </c>
      <c r="E80" s="3">
        <v>71</v>
      </c>
      <c r="F80" s="3">
        <v>78</v>
      </c>
      <c r="G80" s="3">
        <v>70</v>
      </c>
      <c r="H80" s="3">
        <v>92</v>
      </c>
      <c r="I80" s="3">
        <v>108</v>
      </c>
      <c r="J80" s="3">
        <v>117</v>
      </c>
    </row>
    <row r="81" spans="1:10" x14ac:dyDescent="0.25">
      <c r="A81" s="1" t="s">
        <v>164</v>
      </c>
      <c r="B81" s="2" t="s">
        <v>165</v>
      </c>
      <c r="C81" s="3">
        <v>964</v>
      </c>
      <c r="D81" s="3">
        <v>681</v>
      </c>
      <c r="E81" s="3">
        <v>1052</v>
      </c>
      <c r="F81" s="3">
        <v>848</v>
      </c>
      <c r="G81" s="3">
        <v>914</v>
      </c>
      <c r="H81" s="3">
        <v>998</v>
      </c>
      <c r="I81" s="3">
        <v>1626</v>
      </c>
      <c r="J81" s="3">
        <v>1397</v>
      </c>
    </row>
    <row r="82" spans="1:10" x14ac:dyDescent="0.25">
      <c r="A82" s="1" t="s">
        <v>166</v>
      </c>
      <c r="B82" s="2" t="s">
        <v>167</v>
      </c>
      <c r="C82" s="3">
        <v>19</v>
      </c>
      <c r="D82" s="3">
        <v>20</v>
      </c>
      <c r="E82" s="3">
        <v>28</v>
      </c>
      <c r="F82" s="3">
        <v>26</v>
      </c>
      <c r="G82" s="3">
        <v>34</v>
      </c>
      <c r="H82" s="3">
        <v>20</v>
      </c>
      <c r="I82" s="3">
        <v>26</v>
      </c>
      <c r="J82" s="3">
        <v>44</v>
      </c>
    </row>
    <row r="83" spans="1:10" x14ac:dyDescent="0.25">
      <c r="A83" s="1" t="s">
        <v>168</v>
      </c>
      <c r="B83" s="2" t="s">
        <v>169</v>
      </c>
      <c r="C83" s="3">
        <v>1048</v>
      </c>
      <c r="D83" s="3">
        <v>594</v>
      </c>
      <c r="E83" s="3">
        <v>1050</v>
      </c>
      <c r="F83" s="3">
        <v>992</v>
      </c>
      <c r="G83" s="3">
        <v>904</v>
      </c>
      <c r="H83" s="3">
        <v>1137</v>
      </c>
      <c r="I83" s="3">
        <v>1362</v>
      </c>
      <c r="J83" s="3">
        <v>1267</v>
      </c>
    </row>
    <row r="84" spans="1:10" x14ac:dyDescent="0.25">
      <c r="A84" s="1" t="s">
        <v>170</v>
      </c>
      <c r="B84" s="2" t="s">
        <v>171</v>
      </c>
      <c r="C84" s="3">
        <v>1356</v>
      </c>
      <c r="D84" s="3">
        <v>1063</v>
      </c>
      <c r="E84" s="3">
        <v>1079</v>
      </c>
      <c r="F84" s="3">
        <v>1010</v>
      </c>
      <c r="G84" s="3">
        <v>988</v>
      </c>
      <c r="H84" s="3">
        <v>1080</v>
      </c>
      <c r="I84" s="3">
        <v>1447</v>
      </c>
      <c r="J84" s="3">
        <v>1801</v>
      </c>
    </row>
    <row r="85" spans="1:10" x14ac:dyDescent="0.25">
      <c r="A85" s="1" t="s">
        <v>172</v>
      </c>
      <c r="B85" s="2" t="s">
        <v>173</v>
      </c>
      <c r="C85" s="3">
        <v>6</v>
      </c>
      <c r="D85" s="3">
        <v>10</v>
      </c>
      <c r="E85" s="3">
        <v>10</v>
      </c>
      <c r="F85" s="3">
        <v>3</v>
      </c>
      <c r="G85" s="3">
        <v>8</v>
      </c>
      <c r="H85" s="3">
        <v>7</v>
      </c>
      <c r="I85" s="3">
        <v>9</v>
      </c>
      <c r="J85" s="3">
        <v>11</v>
      </c>
    </row>
    <row r="86" spans="1:10" x14ac:dyDescent="0.25">
      <c r="A86" s="1" t="s">
        <v>174</v>
      </c>
      <c r="B86" s="2" t="s">
        <v>175</v>
      </c>
      <c r="C86" s="3">
        <v>119</v>
      </c>
      <c r="D86" s="3">
        <v>69</v>
      </c>
      <c r="E86" s="3">
        <v>98</v>
      </c>
      <c r="F86" s="3">
        <v>87</v>
      </c>
      <c r="G86" s="3">
        <v>99</v>
      </c>
      <c r="H86" s="3">
        <v>103</v>
      </c>
      <c r="I86" s="3">
        <v>123</v>
      </c>
      <c r="J86" s="3">
        <v>105</v>
      </c>
    </row>
    <row r="87" spans="1:10" x14ac:dyDescent="0.25">
      <c r="A87" s="1" t="s">
        <v>176</v>
      </c>
      <c r="B87" s="2" t="s">
        <v>177</v>
      </c>
      <c r="C87" s="3">
        <v>135</v>
      </c>
      <c r="D87" s="3">
        <v>102</v>
      </c>
      <c r="E87" s="3">
        <v>101</v>
      </c>
      <c r="F87" s="3">
        <v>134</v>
      </c>
      <c r="G87" s="3">
        <v>147</v>
      </c>
      <c r="H87" s="3">
        <v>145</v>
      </c>
      <c r="I87" s="3">
        <v>133</v>
      </c>
      <c r="J87" s="3">
        <v>147</v>
      </c>
    </row>
    <row r="88" spans="1:10" x14ac:dyDescent="0.25">
      <c r="A88" s="1" t="s">
        <v>178</v>
      </c>
      <c r="B88" s="2" t="s">
        <v>179</v>
      </c>
      <c r="C88" s="3">
        <v>22</v>
      </c>
      <c r="D88" s="3">
        <v>14</v>
      </c>
      <c r="E88" s="3">
        <v>21</v>
      </c>
      <c r="F88" s="3">
        <v>16</v>
      </c>
      <c r="G88" s="3">
        <v>22</v>
      </c>
      <c r="H88" s="3">
        <v>14</v>
      </c>
      <c r="I88" s="3">
        <v>19</v>
      </c>
      <c r="J88" s="3">
        <v>18</v>
      </c>
    </row>
    <row r="89" spans="1:10" x14ac:dyDescent="0.25">
      <c r="A89" s="1" t="s">
        <v>180</v>
      </c>
      <c r="B89" s="2" t="s">
        <v>181</v>
      </c>
      <c r="C89" s="3">
        <v>15</v>
      </c>
      <c r="D89" s="3">
        <v>9</v>
      </c>
      <c r="E89" s="3">
        <v>11</v>
      </c>
      <c r="F89" s="3">
        <v>19</v>
      </c>
      <c r="G89" s="3">
        <v>6</v>
      </c>
      <c r="H89" s="3">
        <v>7</v>
      </c>
      <c r="I89" s="3">
        <v>15</v>
      </c>
      <c r="J89" s="3">
        <v>14</v>
      </c>
    </row>
    <row r="90" spans="1:10" x14ac:dyDescent="0.25">
      <c r="A90" s="1" t="s">
        <v>182</v>
      </c>
      <c r="B90" s="2" t="s">
        <v>183</v>
      </c>
      <c r="C90" s="3">
        <v>13</v>
      </c>
      <c r="D90" s="3">
        <v>2</v>
      </c>
      <c r="E90" s="3">
        <v>12</v>
      </c>
      <c r="F90" s="3">
        <v>8</v>
      </c>
      <c r="G90" s="3">
        <v>7</v>
      </c>
      <c r="H90" s="3">
        <v>6</v>
      </c>
      <c r="I90" s="3">
        <v>18</v>
      </c>
      <c r="J90" s="3">
        <v>14</v>
      </c>
    </row>
    <row r="91" spans="1:10" x14ac:dyDescent="0.25">
      <c r="A91" s="1" t="s">
        <v>184</v>
      </c>
      <c r="B91" s="2" t="s">
        <v>185</v>
      </c>
      <c r="C91" s="3">
        <v>18</v>
      </c>
      <c r="D91" s="3">
        <v>12</v>
      </c>
      <c r="E91" s="3">
        <v>22</v>
      </c>
      <c r="F91" s="3">
        <v>18</v>
      </c>
      <c r="G91" s="3">
        <v>11</v>
      </c>
      <c r="H91" s="3">
        <v>28</v>
      </c>
      <c r="I91" s="3">
        <v>25</v>
      </c>
      <c r="J91" s="3">
        <v>29</v>
      </c>
    </row>
    <row r="92" spans="1:10" x14ac:dyDescent="0.25">
      <c r="A92" s="1" t="s">
        <v>186</v>
      </c>
      <c r="B92" s="2" t="s">
        <v>187</v>
      </c>
      <c r="C92" s="3">
        <v>29</v>
      </c>
      <c r="D92" s="3">
        <v>12</v>
      </c>
      <c r="E92" s="3">
        <v>30</v>
      </c>
      <c r="F92" s="3">
        <v>25</v>
      </c>
      <c r="G92" s="3">
        <v>22</v>
      </c>
      <c r="H92" s="3">
        <v>20</v>
      </c>
      <c r="I92" s="3">
        <v>34</v>
      </c>
      <c r="J92" s="3">
        <v>54</v>
      </c>
    </row>
    <row r="93" spans="1:10" x14ac:dyDescent="0.25">
      <c r="A93" s="1" t="s">
        <v>188</v>
      </c>
      <c r="B93" s="2" t="s">
        <v>189</v>
      </c>
      <c r="C93" s="3">
        <v>3038</v>
      </c>
      <c r="D93" s="3">
        <v>2229</v>
      </c>
      <c r="E93" s="3">
        <v>2675</v>
      </c>
      <c r="F93" s="3">
        <v>2526</v>
      </c>
      <c r="G93" s="3">
        <v>2433</v>
      </c>
      <c r="H93" s="3">
        <v>2855</v>
      </c>
      <c r="I93" s="3">
        <v>3918</v>
      </c>
      <c r="J93" s="3">
        <v>3809</v>
      </c>
    </row>
    <row r="94" spans="1:10" x14ac:dyDescent="0.25">
      <c r="A94" s="1" t="s">
        <v>190</v>
      </c>
      <c r="B94" s="2" t="s">
        <v>191</v>
      </c>
      <c r="C94" s="3">
        <v>4</v>
      </c>
      <c r="D94" s="3">
        <v>6</v>
      </c>
      <c r="E94" s="3">
        <v>7</v>
      </c>
      <c r="F94" s="3">
        <v>4</v>
      </c>
      <c r="G94" s="3">
        <v>7</v>
      </c>
      <c r="H94" s="3">
        <v>12</v>
      </c>
      <c r="I94" s="3">
        <v>8</v>
      </c>
      <c r="J94" s="3">
        <v>12</v>
      </c>
    </row>
    <row r="95" spans="1:10" x14ac:dyDescent="0.25">
      <c r="A95" s="1" t="s">
        <v>192</v>
      </c>
      <c r="B95" s="2" t="s">
        <v>193</v>
      </c>
      <c r="C95" s="3">
        <v>16</v>
      </c>
      <c r="D95" s="3">
        <v>8</v>
      </c>
      <c r="E95" s="3">
        <v>15</v>
      </c>
      <c r="F95" s="3">
        <v>9</v>
      </c>
      <c r="G95" s="3">
        <v>15</v>
      </c>
      <c r="H95" s="3">
        <v>14</v>
      </c>
      <c r="I95" s="3">
        <v>25</v>
      </c>
      <c r="J95" s="3">
        <v>26</v>
      </c>
    </row>
    <row r="96" spans="1:10" x14ac:dyDescent="0.25">
      <c r="A96" s="1" t="s">
        <v>194</v>
      </c>
      <c r="B96" s="2" t="s">
        <v>195</v>
      </c>
      <c r="C96" s="3">
        <v>734</v>
      </c>
      <c r="D96" s="3">
        <v>397</v>
      </c>
      <c r="E96" s="3">
        <v>748</v>
      </c>
      <c r="F96" s="3">
        <v>626</v>
      </c>
      <c r="G96" s="3">
        <v>723</v>
      </c>
      <c r="H96" s="3">
        <v>793</v>
      </c>
      <c r="I96" s="3">
        <v>1158</v>
      </c>
      <c r="J96" s="3">
        <v>1229</v>
      </c>
    </row>
    <row r="97" spans="1:10" x14ac:dyDescent="0.25">
      <c r="A97" s="1" t="s">
        <v>196</v>
      </c>
      <c r="B97" s="2" t="s">
        <v>197</v>
      </c>
      <c r="C97" s="3">
        <v>120156</v>
      </c>
      <c r="D97" s="3">
        <v>78595</v>
      </c>
      <c r="E97" s="3">
        <v>92239</v>
      </c>
      <c r="F97" s="3">
        <v>92081</v>
      </c>
      <c r="G97" s="3">
        <v>102393</v>
      </c>
      <c r="H97" s="3">
        <v>99013</v>
      </c>
      <c r="I97" s="3">
        <v>102062</v>
      </c>
      <c r="J97" s="3">
        <v>163316</v>
      </c>
    </row>
    <row r="98" spans="1:10" x14ac:dyDescent="0.25">
      <c r="A98" s="1" t="s">
        <v>198</v>
      </c>
      <c r="B98" s="2" t="s">
        <v>199</v>
      </c>
      <c r="C98" s="3">
        <v>12</v>
      </c>
      <c r="D98" s="3">
        <v>10</v>
      </c>
      <c r="E98" s="3">
        <v>14</v>
      </c>
      <c r="F98" s="3">
        <v>14</v>
      </c>
      <c r="G98" s="3">
        <v>12</v>
      </c>
      <c r="H98" s="3">
        <v>10</v>
      </c>
      <c r="I98" s="3">
        <v>17</v>
      </c>
      <c r="J98" s="3">
        <v>21</v>
      </c>
    </row>
    <row r="99" spans="1:10" x14ac:dyDescent="0.25">
      <c r="A99" s="1" t="s">
        <v>200</v>
      </c>
      <c r="B99" s="2" t="s">
        <v>201</v>
      </c>
      <c r="C99" s="3">
        <v>13</v>
      </c>
      <c r="D99" s="3">
        <v>6</v>
      </c>
      <c r="E99" s="3">
        <v>13</v>
      </c>
      <c r="F99" s="3">
        <v>18</v>
      </c>
      <c r="G99" s="3">
        <v>16</v>
      </c>
      <c r="H99" s="3">
        <v>11</v>
      </c>
      <c r="I99" s="3">
        <v>12</v>
      </c>
      <c r="J99" s="3">
        <v>17</v>
      </c>
    </row>
    <row r="100" spans="1:10" x14ac:dyDescent="0.25">
      <c r="A100" s="1" t="s">
        <v>202</v>
      </c>
      <c r="B100" s="2" t="s">
        <v>203</v>
      </c>
      <c r="C100" s="3">
        <v>17</v>
      </c>
      <c r="D100" s="3">
        <v>14</v>
      </c>
      <c r="E100" s="3">
        <v>16</v>
      </c>
      <c r="F100" s="3">
        <v>22</v>
      </c>
      <c r="G100" s="3">
        <v>17</v>
      </c>
      <c r="H100" s="3">
        <v>11</v>
      </c>
      <c r="I100" s="3">
        <v>20</v>
      </c>
      <c r="J100" s="3">
        <v>29</v>
      </c>
    </row>
    <row r="101" spans="1:10" x14ac:dyDescent="0.25">
      <c r="A101" s="1" t="s">
        <v>204</v>
      </c>
      <c r="B101" s="2" t="s">
        <v>205</v>
      </c>
      <c r="C101" s="3">
        <v>48</v>
      </c>
      <c r="D101" s="3">
        <v>38</v>
      </c>
      <c r="E101" s="3">
        <v>31</v>
      </c>
      <c r="F101" s="3">
        <v>37</v>
      </c>
      <c r="G101" s="3">
        <v>46</v>
      </c>
      <c r="H101" s="3">
        <v>38</v>
      </c>
      <c r="I101" s="3">
        <v>57</v>
      </c>
      <c r="J101" s="3">
        <v>54</v>
      </c>
    </row>
    <row r="102" spans="1:10" x14ac:dyDescent="0.25">
      <c r="A102" s="1" t="s">
        <v>206</v>
      </c>
      <c r="B102" s="2" t="s">
        <v>207</v>
      </c>
      <c r="C102" s="3">
        <v>300</v>
      </c>
      <c r="D102" s="3">
        <v>183</v>
      </c>
      <c r="E102" s="3">
        <v>230</v>
      </c>
      <c r="F102" s="3">
        <v>221</v>
      </c>
      <c r="G102" s="3">
        <v>220</v>
      </c>
      <c r="H102" s="3">
        <v>253</v>
      </c>
      <c r="I102" s="3">
        <v>362</v>
      </c>
      <c r="J102" s="3">
        <v>385</v>
      </c>
    </row>
    <row r="103" spans="1:10" x14ac:dyDescent="0.25">
      <c r="A103" s="1" t="s">
        <v>208</v>
      </c>
      <c r="B103" s="2" t="s">
        <v>209</v>
      </c>
      <c r="C103" s="3">
        <v>11</v>
      </c>
      <c r="D103" s="3">
        <v>2</v>
      </c>
      <c r="E103" s="3">
        <v>3</v>
      </c>
      <c r="F103" s="3">
        <v>4</v>
      </c>
      <c r="G103" s="3">
        <v>8</v>
      </c>
      <c r="H103" s="3">
        <v>10</v>
      </c>
      <c r="I103" s="3">
        <v>6</v>
      </c>
      <c r="J103" s="3">
        <v>6</v>
      </c>
    </row>
    <row r="104" spans="1:10" x14ac:dyDescent="0.25">
      <c r="A104" s="1" t="s">
        <v>210</v>
      </c>
      <c r="B104" s="2" t="s">
        <v>211</v>
      </c>
      <c r="C104" s="3">
        <v>1779</v>
      </c>
      <c r="D104" s="3">
        <v>1051</v>
      </c>
      <c r="E104" s="3">
        <v>1882</v>
      </c>
      <c r="F104" s="3">
        <v>1562</v>
      </c>
      <c r="G104" s="3">
        <v>1526</v>
      </c>
      <c r="H104" s="3">
        <v>2040</v>
      </c>
      <c r="I104" s="3">
        <v>3108</v>
      </c>
      <c r="J104" s="3">
        <v>2660</v>
      </c>
    </row>
    <row r="105" spans="1:10" x14ac:dyDescent="0.25">
      <c r="A105" s="1" t="s">
        <v>212</v>
      </c>
      <c r="B105" s="2" t="s">
        <v>213</v>
      </c>
      <c r="C105" s="3">
        <v>500</v>
      </c>
      <c r="D105" s="3">
        <v>358</v>
      </c>
      <c r="E105" s="3">
        <v>519</v>
      </c>
      <c r="F105" s="3">
        <v>409</v>
      </c>
      <c r="G105" s="3">
        <v>493</v>
      </c>
      <c r="H105" s="3">
        <v>579</v>
      </c>
      <c r="I105" s="3">
        <v>895</v>
      </c>
      <c r="J105" s="3">
        <v>776</v>
      </c>
    </row>
    <row r="106" spans="1:10" x14ac:dyDescent="0.25">
      <c r="A106" s="1" t="s">
        <v>214</v>
      </c>
      <c r="B106" s="2" t="s">
        <v>215</v>
      </c>
      <c r="C106" s="3">
        <v>185</v>
      </c>
      <c r="D106" s="3">
        <v>105</v>
      </c>
      <c r="E106" s="3">
        <v>165</v>
      </c>
      <c r="F106" s="3">
        <v>139</v>
      </c>
      <c r="G106" s="3">
        <v>145</v>
      </c>
      <c r="H106" s="3">
        <v>172</v>
      </c>
      <c r="I106" s="3">
        <v>261</v>
      </c>
      <c r="J106" s="3">
        <v>253</v>
      </c>
    </row>
    <row r="107" spans="1:10" x14ac:dyDescent="0.25">
      <c r="A107" s="1" t="s">
        <v>216</v>
      </c>
      <c r="B107" s="2" t="s">
        <v>217</v>
      </c>
      <c r="C107" s="3">
        <v>1181</v>
      </c>
      <c r="D107" s="3">
        <v>579</v>
      </c>
      <c r="E107" s="3">
        <v>1059</v>
      </c>
      <c r="F107" s="3">
        <v>957</v>
      </c>
      <c r="G107" s="3">
        <v>916</v>
      </c>
      <c r="H107" s="3">
        <v>1115</v>
      </c>
      <c r="I107" s="3">
        <v>1513</v>
      </c>
      <c r="J107" s="3">
        <v>1566</v>
      </c>
    </row>
    <row r="108" spans="1:10" x14ac:dyDescent="0.25">
      <c r="A108" s="1" t="s">
        <v>218</v>
      </c>
      <c r="B108" s="2" t="s">
        <v>219</v>
      </c>
      <c r="C108" s="3">
        <v>996</v>
      </c>
      <c r="D108" s="3">
        <v>707</v>
      </c>
      <c r="E108" s="3">
        <v>805</v>
      </c>
      <c r="F108" s="3">
        <v>778</v>
      </c>
      <c r="G108" s="3">
        <v>928</v>
      </c>
      <c r="H108" s="3">
        <v>854</v>
      </c>
      <c r="I108" s="3">
        <v>847</v>
      </c>
      <c r="J108" s="3">
        <v>1302</v>
      </c>
    </row>
    <row r="109" spans="1:10" x14ac:dyDescent="0.25">
      <c r="A109" s="1" t="s">
        <v>220</v>
      </c>
      <c r="B109" s="2" t="s">
        <v>221</v>
      </c>
      <c r="C109" s="3">
        <v>8024</v>
      </c>
      <c r="D109" s="3">
        <v>6011</v>
      </c>
      <c r="E109" s="3">
        <v>9044</v>
      </c>
      <c r="F109" s="3">
        <v>7359</v>
      </c>
      <c r="G109" s="3">
        <v>7991</v>
      </c>
      <c r="H109" s="3">
        <v>9369</v>
      </c>
      <c r="I109" s="3">
        <v>16431</v>
      </c>
      <c r="J109" s="3">
        <v>12290</v>
      </c>
    </row>
    <row r="110" spans="1:10" x14ac:dyDescent="0.25">
      <c r="A110" s="1" t="s">
        <v>222</v>
      </c>
      <c r="B110" s="2" t="s">
        <v>223</v>
      </c>
      <c r="C110" s="3">
        <v>232</v>
      </c>
      <c r="D110" s="3">
        <v>155</v>
      </c>
      <c r="E110" s="3">
        <v>236</v>
      </c>
      <c r="F110" s="3">
        <v>194</v>
      </c>
      <c r="G110" s="3">
        <v>182</v>
      </c>
      <c r="H110" s="3">
        <v>241</v>
      </c>
      <c r="I110" s="3">
        <v>436</v>
      </c>
      <c r="J110" s="3">
        <v>309</v>
      </c>
    </row>
    <row r="111" spans="1:10" x14ac:dyDescent="0.25">
      <c r="A111" s="1" t="s">
        <v>224</v>
      </c>
      <c r="B111" s="2" t="s">
        <v>225</v>
      </c>
      <c r="C111" s="3">
        <v>277</v>
      </c>
      <c r="D111" s="3">
        <v>176</v>
      </c>
      <c r="E111" s="3">
        <v>204</v>
      </c>
      <c r="F111" s="3">
        <v>213</v>
      </c>
      <c r="G111" s="3">
        <v>215</v>
      </c>
      <c r="H111" s="3">
        <v>220</v>
      </c>
      <c r="I111" s="3">
        <v>241</v>
      </c>
      <c r="J111" s="3">
        <v>370</v>
      </c>
    </row>
    <row r="112" spans="1:10" x14ac:dyDescent="0.25">
      <c r="A112" s="1" t="s">
        <v>226</v>
      </c>
      <c r="B112" s="2" t="s">
        <v>227</v>
      </c>
      <c r="C112" s="3">
        <v>187</v>
      </c>
      <c r="D112" s="3">
        <v>132</v>
      </c>
      <c r="E112" s="3">
        <v>146</v>
      </c>
      <c r="F112" s="3">
        <v>134</v>
      </c>
      <c r="G112" s="3">
        <v>188</v>
      </c>
      <c r="H112" s="3">
        <v>160</v>
      </c>
      <c r="I112" s="3">
        <v>177</v>
      </c>
      <c r="J112" s="3">
        <v>272</v>
      </c>
    </row>
    <row r="113" spans="1:10" x14ac:dyDescent="0.25">
      <c r="A113" s="1" t="s">
        <v>228</v>
      </c>
      <c r="B113" s="2" t="s">
        <v>229</v>
      </c>
      <c r="C113" s="3">
        <v>15485</v>
      </c>
      <c r="D113" s="3">
        <v>9078</v>
      </c>
      <c r="E113" s="3">
        <v>15777</v>
      </c>
      <c r="F113" s="3">
        <v>15260</v>
      </c>
      <c r="G113" s="3">
        <v>14740</v>
      </c>
      <c r="H113" s="3">
        <v>16288</v>
      </c>
      <c r="I113" s="3">
        <v>21250</v>
      </c>
      <c r="J113" s="3">
        <v>17504</v>
      </c>
    </row>
    <row r="114" spans="1:10" x14ac:dyDescent="0.25">
      <c r="A114" s="1" t="s">
        <v>230</v>
      </c>
      <c r="B114" s="2" t="s">
        <v>231</v>
      </c>
      <c r="C114" s="3">
        <v>2314</v>
      </c>
      <c r="D114" s="3">
        <v>1140</v>
      </c>
      <c r="E114" s="3">
        <v>1792</v>
      </c>
      <c r="F114" s="3">
        <v>1815</v>
      </c>
      <c r="G114" s="3">
        <v>1935</v>
      </c>
      <c r="H114" s="3">
        <v>1987</v>
      </c>
      <c r="I114" s="3">
        <v>2039</v>
      </c>
      <c r="J114" s="3">
        <v>3482</v>
      </c>
    </row>
    <row r="115" spans="1:10" x14ac:dyDescent="0.25">
      <c r="A115" s="1" t="s">
        <v>232</v>
      </c>
      <c r="B115" s="2" t="s">
        <v>233</v>
      </c>
      <c r="C115" s="3">
        <v>8</v>
      </c>
      <c r="D115" s="3">
        <v>9</v>
      </c>
      <c r="E115" s="3">
        <v>8</v>
      </c>
      <c r="F115" s="3">
        <v>12</v>
      </c>
      <c r="G115" s="3">
        <v>13</v>
      </c>
      <c r="H115" s="3">
        <v>16</v>
      </c>
      <c r="I115" s="3">
        <v>16</v>
      </c>
      <c r="J115" s="3">
        <v>14</v>
      </c>
    </row>
    <row r="116" spans="1:10" x14ac:dyDescent="0.25">
      <c r="A116" s="1" t="s">
        <v>234</v>
      </c>
      <c r="B116" s="2" t="s">
        <v>235</v>
      </c>
      <c r="C116" s="3">
        <v>10</v>
      </c>
      <c r="D116" s="3">
        <v>6</v>
      </c>
      <c r="E116" s="3">
        <v>16</v>
      </c>
      <c r="F116" s="3">
        <v>9</v>
      </c>
      <c r="G116" s="3">
        <v>13</v>
      </c>
      <c r="H116" s="3">
        <v>11</v>
      </c>
      <c r="I116" s="3">
        <v>10</v>
      </c>
      <c r="J116" s="3">
        <v>13</v>
      </c>
    </row>
    <row r="117" spans="1:10" x14ac:dyDescent="0.25">
      <c r="A117" s="1" t="s">
        <v>236</v>
      </c>
      <c r="B117" s="2" t="s">
        <v>237</v>
      </c>
      <c r="C117" s="3">
        <v>7</v>
      </c>
      <c r="D117" s="3">
        <v>4</v>
      </c>
      <c r="E117" s="3">
        <v>5</v>
      </c>
      <c r="F117" s="3">
        <v>7</v>
      </c>
      <c r="G117" s="3">
        <v>7</v>
      </c>
      <c r="H117" s="3">
        <v>6</v>
      </c>
      <c r="I117" s="3">
        <v>4</v>
      </c>
      <c r="J117" s="3">
        <v>12</v>
      </c>
    </row>
    <row r="118" spans="1:10" x14ac:dyDescent="0.25">
      <c r="A118" s="1" t="s">
        <v>238</v>
      </c>
      <c r="B118" s="2" t="s">
        <v>239</v>
      </c>
      <c r="C118" s="3">
        <v>1229</v>
      </c>
      <c r="D118" s="3">
        <v>743</v>
      </c>
      <c r="E118" s="3">
        <v>1137</v>
      </c>
      <c r="F118" s="3">
        <v>1133</v>
      </c>
      <c r="G118" s="3">
        <v>1144</v>
      </c>
      <c r="H118" s="3">
        <v>1027</v>
      </c>
      <c r="I118" s="3">
        <v>1727</v>
      </c>
      <c r="J118" s="3">
        <v>2597</v>
      </c>
    </row>
    <row r="119" spans="1:10" x14ac:dyDescent="0.25">
      <c r="A119" s="1" t="s">
        <v>240</v>
      </c>
      <c r="B119" s="2" t="s">
        <v>241</v>
      </c>
      <c r="C119" s="3">
        <v>177</v>
      </c>
      <c r="D119" s="3">
        <v>107</v>
      </c>
      <c r="E119" s="3">
        <v>183</v>
      </c>
      <c r="F119" s="3">
        <v>174</v>
      </c>
      <c r="G119" s="3">
        <v>177</v>
      </c>
      <c r="H119" s="3">
        <v>179</v>
      </c>
      <c r="I119" s="3">
        <v>221</v>
      </c>
      <c r="J119" s="3">
        <v>336</v>
      </c>
    </row>
    <row r="120" spans="1:10" x14ac:dyDescent="0.25">
      <c r="A120" s="1" t="s">
        <v>242</v>
      </c>
      <c r="B120" s="2" t="s">
        <v>243</v>
      </c>
      <c r="C120" s="3">
        <v>196</v>
      </c>
      <c r="D120" s="3">
        <v>147</v>
      </c>
      <c r="E120" s="3">
        <v>217</v>
      </c>
      <c r="F120" s="3">
        <v>192</v>
      </c>
      <c r="G120" s="3">
        <v>214</v>
      </c>
      <c r="H120" s="3">
        <v>226</v>
      </c>
      <c r="I120" s="3">
        <v>250</v>
      </c>
      <c r="J120" s="3">
        <v>334</v>
      </c>
    </row>
    <row r="121" spans="1:10" x14ac:dyDescent="0.25">
      <c r="A121" s="1" t="s">
        <v>244</v>
      </c>
      <c r="B121" s="2" t="s">
        <v>245</v>
      </c>
      <c r="C121" s="3">
        <v>3068</v>
      </c>
      <c r="D121" s="3">
        <v>2268</v>
      </c>
      <c r="E121" s="3">
        <v>3259</v>
      </c>
      <c r="F121" s="3">
        <v>2742</v>
      </c>
      <c r="G121" s="3">
        <v>2761</v>
      </c>
      <c r="H121" s="3">
        <v>3553</v>
      </c>
      <c r="I121" s="3">
        <v>6008</v>
      </c>
      <c r="J121" s="3">
        <v>4888</v>
      </c>
    </row>
    <row r="122" spans="1:10" x14ac:dyDescent="0.25">
      <c r="A122" s="1" t="s">
        <v>246</v>
      </c>
      <c r="B122" s="2" t="s">
        <v>247</v>
      </c>
      <c r="C122" s="3">
        <v>594</v>
      </c>
      <c r="D122" s="3">
        <v>453</v>
      </c>
      <c r="E122" s="3">
        <v>494</v>
      </c>
      <c r="F122" s="3">
        <v>503</v>
      </c>
      <c r="G122" s="3">
        <v>516</v>
      </c>
      <c r="H122" s="3">
        <v>510</v>
      </c>
      <c r="I122" s="3">
        <v>645</v>
      </c>
      <c r="J122" s="3">
        <v>945</v>
      </c>
    </row>
    <row r="123" spans="1:10" x14ac:dyDescent="0.25">
      <c r="A123" s="1" t="s">
        <v>248</v>
      </c>
      <c r="B123" s="2" t="s">
        <v>249</v>
      </c>
      <c r="C123" s="3">
        <v>185</v>
      </c>
      <c r="D123" s="3">
        <v>110</v>
      </c>
      <c r="E123" s="3">
        <v>167</v>
      </c>
      <c r="F123" s="3">
        <v>184</v>
      </c>
      <c r="G123" s="3">
        <v>185</v>
      </c>
      <c r="H123" s="3">
        <v>155</v>
      </c>
      <c r="I123" s="3">
        <v>192</v>
      </c>
      <c r="J123" s="3">
        <v>299</v>
      </c>
    </row>
    <row r="124" spans="1:10" x14ac:dyDescent="0.25">
      <c r="A124" s="1" t="s">
        <v>250</v>
      </c>
      <c r="B124" s="2" t="s">
        <v>251</v>
      </c>
      <c r="C124" s="3">
        <v>9</v>
      </c>
      <c r="D124" s="3">
        <v>12</v>
      </c>
      <c r="E124" s="3">
        <v>5</v>
      </c>
      <c r="F124" s="3">
        <v>11</v>
      </c>
      <c r="G124" s="3">
        <v>10</v>
      </c>
      <c r="H124" s="3">
        <v>6</v>
      </c>
      <c r="I124" s="3">
        <v>13</v>
      </c>
      <c r="J124" s="3">
        <v>5</v>
      </c>
    </row>
    <row r="125" spans="1:10" x14ac:dyDescent="0.25">
      <c r="A125" s="1" t="s">
        <v>252</v>
      </c>
      <c r="B125" s="2" t="s">
        <v>253</v>
      </c>
      <c r="C125" s="3">
        <v>7</v>
      </c>
      <c r="D125" s="3">
        <v>8</v>
      </c>
      <c r="E125" s="3">
        <v>4</v>
      </c>
      <c r="F125" s="3">
        <v>8</v>
      </c>
      <c r="G125" s="3">
        <v>7</v>
      </c>
      <c r="H125" s="3">
        <v>5</v>
      </c>
      <c r="I125" s="3">
        <v>3</v>
      </c>
      <c r="J125" s="3">
        <v>8</v>
      </c>
    </row>
    <row r="126" spans="1:10" x14ac:dyDescent="0.25">
      <c r="A126" s="1" t="s">
        <v>254</v>
      </c>
      <c r="B126" s="2" t="s">
        <v>255</v>
      </c>
      <c r="C126" s="3">
        <v>209</v>
      </c>
      <c r="D126" s="3">
        <v>113</v>
      </c>
      <c r="E126" s="3">
        <v>245</v>
      </c>
      <c r="F126" s="3">
        <v>159</v>
      </c>
      <c r="G126" s="3">
        <v>144</v>
      </c>
      <c r="H126" s="3">
        <v>204</v>
      </c>
      <c r="I126" s="3">
        <v>420</v>
      </c>
      <c r="J126" s="3">
        <v>299</v>
      </c>
    </row>
    <row r="127" spans="1:10" x14ac:dyDescent="0.25">
      <c r="A127" s="1" t="s">
        <v>256</v>
      </c>
      <c r="B127" s="2" t="s">
        <v>257</v>
      </c>
      <c r="C127" s="3">
        <v>75</v>
      </c>
      <c r="D127" s="3">
        <v>48</v>
      </c>
      <c r="E127" s="3">
        <v>66</v>
      </c>
      <c r="F127" s="3">
        <v>54</v>
      </c>
      <c r="G127" s="3">
        <v>36</v>
      </c>
      <c r="H127" s="3">
        <v>58</v>
      </c>
      <c r="I127" s="3">
        <v>90</v>
      </c>
      <c r="J127" s="3">
        <v>111</v>
      </c>
    </row>
    <row r="128" spans="1:10" x14ac:dyDescent="0.25">
      <c r="A128" s="1" t="s">
        <v>258</v>
      </c>
      <c r="B128" s="2" t="s">
        <v>259</v>
      </c>
      <c r="C128" s="3">
        <v>427</v>
      </c>
      <c r="D128" s="3">
        <v>327</v>
      </c>
      <c r="E128" s="3">
        <v>402</v>
      </c>
      <c r="F128" s="3">
        <v>345</v>
      </c>
      <c r="G128" s="3">
        <v>358</v>
      </c>
      <c r="H128" s="3">
        <v>414</v>
      </c>
      <c r="I128" s="3">
        <v>645</v>
      </c>
      <c r="J128" s="3">
        <v>632</v>
      </c>
    </row>
    <row r="129" spans="1:10" x14ac:dyDescent="0.25">
      <c r="A129" s="1" t="s">
        <v>260</v>
      </c>
      <c r="B129" s="2" t="s">
        <v>261</v>
      </c>
      <c r="C129" s="3">
        <v>17</v>
      </c>
      <c r="D129" s="3">
        <v>6</v>
      </c>
      <c r="E129" s="3">
        <v>12</v>
      </c>
      <c r="F129" s="3">
        <v>9</v>
      </c>
      <c r="G129" s="3">
        <v>13</v>
      </c>
      <c r="H129" s="3">
        <v>12</v>
      </c>
      <c r="I129" s="3">
        <v>11</v>
      </c>
      <c r="J129" s="3">
        <v>17</v>
      </c>
    </row>
    <row r="130" spans="1:10" x14ac:dyDescent="0.25">
      <c r="A130" s="1" t="s">
        <v>262</v>
      </c>
      <c r="B130" s="2" t="s">
        <v>263</v>
      </c>
      <c r="C130" s="3">
        <v>644</v>
      </c>
      <c r="D130" s="3">
        <v>545</v>
      </c>
      <c r="E130" s="3">
        <v>532</v>
      </c>
      <c r="F130" s="3">
        <v>548</v>
      </c>
      <c r="G130" s="3">
        <v>512</v>
      </c>
      <c r="H130" s="3">
        <v>571</v>
      </c>
      <c r="I130" s="3">
        <v>841</v>
      </c>
      <c r="J130" s="3">
        <v>938</v>
      </c>
    </row>
    <row r="131" spans="1:10" x14ac:dyDescent="0.25">
      <c r="A131" s="1" t="s">
        <v>264</v>
      </c>
      <c r="B131" s="2" t="s">
        <v>265</v>
      </c>
      <c r="C131" s="3">
        <v>7</v>
      </c>
      <c r="D131" s="3">
        <v>4</v>
      </c>
      <c r="E131" s="3">
        <v>7</v>
      </c>
      <c r="F131" s="3">
        <v>7</v>
      </c>
      <c r="G131" s="3">
        <v>5</v>
      </c>
      <c r="H131" s="3">
        <v>6</v>
      </c>
      <c r="I131" s="3">
        <v>10</v>
      </c>
      <c r="J131" s="3">
        <v>14</v>
      </c>
    </row>
    <row r="132" spans="1:10" x14ac:dyDescent="0.25">
      <c r="A132" s="1" t="s">
        <v>266</v>
      </c>
      <c r="B132" s="2" t="s">
        <v>267</v>
      </c>
      <c r="C132" s="3">
        <v>15</v>
      </c>
      <c r="D132" s="3">
        <v>13</v>
      </c>
      <c r="E132" s="3">
        <v>16</v>
      </c>
      <c r="F132" s="3">
        <v>15</v>
      </c>
      <c r="G132" s="3">
        <v>12</v>
      </c>
      <c r="H132" s="3">
        <v>18</v>
      </c>
      <c r="I132" s="3">
        <v>17</v>
      </c>
      <c r="J132" s="3">
        <v>20</v>
      </c>
    </row>
    <row r="133" spans="1:10" x14ac:dyDescent="0.25">
      <c r="A133" s="1" t="s">
        <v>268</v>
      </c>
      <c r="B133" s="2" t="s">
        <v>269</v>
      </c>
      <c r="C133" s="3">
        <v>67</v>
      </c>
      <c r="D133" s="3">
        <v>47</v>
      </c>
      <c r="E133" s="3">
        <v>63</v>
      </c>
      <c r="F133" s="3">
        <v>79</v>
      </c>
      <c r="G133" s="3">
        <v>69</v>
      </c>
      <c r="H133" s="3">
        <v>86</v>
      </c>
      <c r="I133" s="3">
        <v>100</v>
      </c>
      <c r="J133" s="3">
        <v>110</v>
      </c>
    </row>
    <row r="134" spans="1:10" ht="14.4" x14ac:dyDescent="0.3">
      <c r="A134" s="13" t="s">
        <v>268</v>
      </c>
      <c r="B134" s="14" t="s">
        <v>484</v>
      </c>
      <c r="C134" s="14">
        <v>73</v>
      </c>
      <c r="D134" s="14">
        <v>38</v>
      </c>
      <c r="E134" s="14">
        <v>51</v>
      </c>
      <c r="F134" s="14">
        <v>58</v>
      </c>
      <c r="G134" s="14">
        <v>68</v>
      </c>
      <c r="H134" s="14">
        <v>66</v>
      </c>
      <c r="I134" s="14">
        <v>119</v>
      </c>
      <c r="J134" s="14">
        <v>66</v>
      </c>
    </row>
    <row r="135" spans="1:10" x14ac:dyDescent="0.25">
      <c r="A135" s="1" t="s">
        <v>270</v>
      </c>
      <c r="B135" s="2" t="s">
        <v>271</v>
      </c>
      <c r="C135" s="3">
        <v>10</v>
      </c>
      <c r="D135" s="3">
        <v>7</v>
      </c>
      <c r="E135" s="3">
        <v>14</v>
      </c>
      <c r="F135" s="3">
        <v>14</v>
      </c>
      <c r="G135" s="3">
        <v>14</v>
      </c>
      <c r="H135" s="3">
        <v>9</v>
      </c>
      <c r="I135" s="3">
        <v>19</v>
      </c>
      <c r="J135" s="3">
        <v>25</v>
      </c>
    </row>
    <row r="136" spans="1:10" x14ac:dyDescent="0.25">
      <c r="A136" s="1" t="s">
        <v>272</v>
      </c>
      <c r="B136" s="2" t="s">
        <v>273</v>
      </c>
      <c r="C136" s="3">
        <v>20</v>
      </c>
      <c r="D136" s="3">
        <v>24</v>
      </c>
      <c r="E136" s="3">
        <v>36</v>
      </c>
      <c r="F136" s="3">
        <v>30</v>
      </c>
      <c r="G136" s="3">
        <v>21</v>
      </c>
      <c r="H136" s="3">
        <v>39</v>
      </c>
      <c r="I136" s="3">
        <v>56</v>
      </c>
      <c r="J136" s="3">
        <v>48</v>
      </c>
    </row>
    <row r="137" spans="1:10" x14ac:dyDescent="0.25">
      <c r="A137" s="1" t="s">
        <v>274</v>
      </c>
      <c r="B137" s="2" t="s">
        <v>275</v>
      </c>
      <c r="C137" s="3">
        <v>1648</v>
      </c>
      <c r="D137" s="3">
        <v>1025</v>
      </c>
      <c r="E137" s="3">
        <v>1850</v>
      </c>
      <c r="F137" s="3">
        <v>1394</v>
      </c>
      <c r="G137" s="3">
        <v>1401</v>
      </c>
      <c r="H137" s="3">
        <v>1751</v>
      </c>
      <c r="I137" s="3">
        <v>2851</v>
      </c>
      <c r="J137" s="3">
        <v>2534</v>
      </c>
    </row>
    <row r="138" spans="1:10" x14ac:dyDescent="0.25">
      <c r="A138" s="1" t="s">
        <v>276</v>
      </c>
      <c r="B138" s="2" t="s">
        <v>277</v>
      </c>
      <c r="C138" s="3">
        <v>1239</v>
      </c>
      <c r="D138" s="3">
        <v>802</v>
      </c>
      <c r="E138" s="3">
        <v>1231</v>
      </c>
      <c r="F138" s="3">
        <v>1112</v>
      </c>
      <c r="G138" s="3">
        <v>1083</v>
      </c>
      <c r="H138" s="3">
        <v>1230</v>
      </c>
      <c r="I138" s="3">
        <v>1497</v>
      </c>
      <c r="J138" s="3">
        <v>1672</v>
      </c>
    </row>
    <row r="139" spans="1:10" x14ac:dyDescent="0.25">
      <c r="A139" s="1" t="s">
        <v>278</v>
      </c>
      <c r="B139" s="2" t="s">
        <v>279</v>
      </c>
      <c r="C139" s="3">
        <v>281</v>
      </c>
      <c r="D139" s="3">
        <v>191</v>
      </c>
      <c r="E139" s="3">
        <v>294</v>
      </c>
      <c r="F139" s="3">
        <v>254</v>
      </c>
      <c r="G139" s="3">
        <v>226</v>
      </c>
      <c r="H139" s="3">
        <v>346</v>
      </c>
      <c r="I139" s="3">
        <v>550</v>
      </c>
      <c r="J139" s="3">
        <v>387</v>
      </c>
    </row>
    <row r="140" spans="1:10" x14ac:dyDescent="0.25">
      <c r="A140" s="1" t="s">
        <v>280</v>
      </c>
      <c r="B140" s="2" t="s">
        <v>281</v>
      </c>
      <c r="C140" s="3">
        <v>82</v>
      </c>
      <c r="D140" s="3">
        <v>54</v>
      </c>
      <c r="E140" s="3">
        <v>91</v>
      </c>
      <c r="F140" s="3">
        <v>65</v>
      </c>
      <c r="G140" s="3">
        <v>94</v>
      </c>
      <c r="H140" s="3">
        <v>98</v>
      </c>
      <c r="I140" s="3">
        <v>151</v>
      </c>
      <c r="J140" s="3">
        <v>134</v>
      </c>
    </row>
    <row r="141" spans="1:10" x14ac:dyDescent="0.25">
      <c r="A141" s="1" t="s">
        <v>282</v>
      </c>
      <c r="B141" s="2" t="s">
        <v>283</v>
      </c>
      <c r="C141" s="3">
        <v>21</v>
      </c>
      <c r="D141" s="3">
        <v>9</v>
      </c>
      <c r="E141" s="3">
        <v>6</v>
      </c>
      <c r="F141" s="3">
        <v>11</v>
      </c>
      <c r="G141" s="3">
        <v>21</v>
      </c>
      <c r="H141" s="3">
        <v>22</v>
      </c>
      <c r="I141" s="3">
        <v>18</v>
      </c>
      <c r="J141" s="3">
        <v>20</v>
      </c>
    </row>
    <row r="142" spans="1:10" x14ac:dyDescent="0.25">
      <c r="A142" s="1" t="s">
        <v>284</v>
      </c>
      <c r="B142" s="2" t="s">
        <v>285</v>
      </c>
      <c r="C142" s="3">
        <v>15</v>
      </c>
      <c r="D142" s="3">
        <v>10</v>
      </c>
      <c r="E142" s="3">
        <v>16</v>
      </c>
      <c r="F142" s="3">
        <v>11</v>
      </c>
      <c r="G142" s="3">
        <v>13</v>
      </c>
      <c r="H142" s="3">
        <v>10</v>
      </c>
      <c r="I142" s="3">
        <v>35</v>
      </c>
      <c r="J142" s="3">
        <v>25</v>
      </c>
    </row>
    <row r="143" spans="1:10" x14ac:dyDescent="0.25">
      <c r="A143" s="1" t="s">
        <v>286</v>
      </c>
      <c r="B143" s="2" t="s">
        <v>287</v>
      </c>
      <c r="C143" s="3">
        <v>7</v>
      </c>
      <c r="D143" s="3">
        <v>5</v>
      </c>
      <c r="E143" s="3">
        <v>5</v>
      </c>
      <c r="F143" s="3">
        <v>7</v>
      </c>
      <c r="G143" s="3">
        <v>6</v>
      </c>
      <c r="H143" s="3">
        <v>11</v>
      </c>
      <c r="I143" s="3">
        <v>9</v>
      </c>
      <c r="J143" s="3">
        <v>14</v>
      </c>
    </row>
    <row r="144" spans="1:10" x14ac:dyDescent="0.25">
      <c r="A144" s="1" t="s">
        <v>288</v>
      </c>
      <c r="B144" s="2" t="s">
        <v>289</v>
      </c>
      <c r="C144" s="3">
        <v>12</v>
      </c>
      <c r="D144" s="3">
        <v>4</v>
      </c>
      <c r="E144" s="3">
        <v>9</v>
      </c>
      <c r="F144" s="3">
        <v>11</v>
      </c>
      <c r="G144" s="3">
        <v>4</v>
      </c>
      <c r="H144" s="3">
        <v>7</v>
      </c>
      <c r="I144" s="3">
        <v>10</v>
      </c>
      <c r="J144" s="3">
        <v>10</v>
      </c>
    </row>
    <row r="145" spans="1:10" x14ac:dyDescent="0.25">
      <c r="A145" s="1" t="s">
        <v>290</v>
      </c>
      <c r="B145" s="2" t="s">
        <v>291</v>
      </c>
      <c r="C145" s="3">
        <v>17</v>
      </c>
      <c r="D145" s="3">
        <v>16</v>
      </c>
      <c r="E145" s="3">
        <v>25</v>
      </c>
      <c r="F145" s="3">
        <v>29</v>
      </c>
      <c r="G145" s="3">
        <v>22</v>
      </c>
      <c r="H145" s="3">
        <v>26</v>
      </c>
      <c r="I145" s="3">
        <v>34</v>
      </c>
      <c r="J145" s="3">
        <v>34</v>
      </c>
    </row>
    <row r="146" spans="1:10" x14ac:dyDescent="0.25">
      <c r="A146" s="1" t="s">
        <v>292</v>
      </c>
      <c r="B146" s="2" t="s">
        <v>293</v>
      </c>
      <c r="C146" s="3">
        <v>7</v>
      </c>
      <c r="D146" s="3">
        <v>8</v>
      </c>
      <c r="E146" s="3">
        <v>6</v>
      </c>
      <c r="F146" s="3">
        <v>9</v>
      </c>
      <c r="G146" s="3">
        <v>7</v>
      </c>
      <c r="H146" s="3">
        <v>11</v>
      </c>
      <c r="I146" s="3">
        <v>5</v>
      </c>
      <c r="J146" s="3">
        <v>12</v>
      </c>
    </row>
    <row r="147" spans="1:10" x14ac:dyDescent="0.25">
      <c r="A147" s="1" t="s">
        <v>294</v>
      </c>
      <c r="B147" s="2" t="s">
        <v>295</v>
      </c>
      <c r="C147" s="3">
        <v>511</v>
      </c>
      <c r="D147" s="3">
        <v>277</v>
      </c>
      <c r="E147" s="3">
        <v>575</v>
      </c>
      <c r="F147" s="3">
        <v>429</v>
      </c>
      <c r="G147" s="3">
        <v>438</v>
      </c>
      <c r="H147" s="3">
        <v>552</v>
      </c>
      <c r="I147" s="3">
        <v>867</v>
      </c>
      <c r="J147" s="3">
        <v>686</v>
      </c>
    </row>
    <row r="148" spans="1:10" x14ac:dyDescent="0.25">
      <c r="A148" s="1" t="s">
        <v>296</v>
      </c>
      <c r="B148" s="2" t="s">
        <v>297</v>
      </c>
      <c r="C148" s="3">
        <v>336</v>
      </c>
      <c r="D148" s="3">
        <v>215</v>
      </c>
      <c r="E148" s="3">
        <v>317</v>
      </c>
      <c r="F148" s="3">
        <v>275</v>
      </c>
      <c r="G148" s="3">
        <v>312</v>
      </c>
      <c r="H148" s="3">
        <v>311</v>
      </c>
      <c r="I148" s="3">
        <v>579</v>
      </c>
      <c r="J148" s="3">
        <v>485</v>
      </c>
    </row>
    <row r="149" spans="1:10" x14ac:dyDescent="0.25">
      <c r="A149" s="1" t="s">
        <v>298</v>
      </c>
      <c r="B149" s="2" t="s">
        <v>299</v>
      </c>
      <c r="C149" s="3">
        <v>97</v>
      </c>
      <c r="D149" s="3">
        <v>82</v>
      </c>
      <c r="E149" s="3">
        <v>95</v>
      </c>
      <c r="F149" s="3">
        <v>87</v>
      </c>
      <c r="G149" s="3">
        <v>94</v>
      </c>
      <c r="H149" s="3">
        <v>85</v>
      </c>
      <c r="I149" s="3">
        <v>127</v>
      </c>
      <c r="J149" s="3">
        <v>133</v>
      </c>
    </row>
    <row r="150" spans="1:10" x14ac:dyDescent="0.25">
      <c r="A150" s="1" t="s">
        <v>300</v>
      </c>
      <c r="B150" s="2" t="s">
        <v>301</v>
      </c>
      <c r="C150" s="3">
        <v>2116</v>
      </c>
      <c r="D150" s="3">
        <v>1250</v>
      </c>
      <c r="E150" s="3">
        <v>2034</v>
      </c>
      <c r="F150" s="3">
        <v>1972</v>
      </c>
      <c r="G150" s="3">
        <v>2048</v>
      </c>
      <c r="H150" s="3">
        <v>2272</v>
      </c>
      <c r="I150" s="3">
        <v>2420</v>
      </c>
      <c r="J150" s="3">
        <v>2902</v>
      </c>
    </row>
    <row r="151" spans="1:10" x14ac:dyDescent="0.25">
      <c r="A151" s="1" t="s">
        <v>302</v>
      </c>
      <c r="B151" s="2" t="s">
        <v>303</v>
      </c>
      <c r="C151" s="3">
        <v>20</v>
      </c>
      <c r="D151" s="3">
        <v>16</v>
      </c>
      <c r="E151" s="3">
        <v>17</v>
      </c>
      <c r="F151" s="3">
        <v>20</v>
      </c>
      <c r="G151" s="3">
        <v>24</v>
      </c>
      <c r="H151" s="3">
        <v>19</v>
      </c>
      <c r="I151" s="3">
        <v>20</v>
      </c>
      <c r="J151" s="3">
        <v>27</v>
      </c>
    </row>
    <row r="152" spans="1:10" x14ac:dyDescent="0.25">
      <c r="A152" s="1" t="s">
        <v>304</v>
      </c>
      <c r="B152" s="2" t="s">
        <v>305</v>
      </c>
      <c r="C152" s="3">
        <v>20</v>
      </c>
      <c r="D152" s="3">
        <v>13</v>
      </c>
      <c r="E152" s="3">
        <v>11</v>
      </c>
      <c r="F152" s="3">
        <v>19</v>
      </c>
      <c r="G152" s="3">
        <v>17</v>
      </c>
      <c r="H152" s="3">
        <v>15</v>
      </c>
      <c r="I152" s="3">
        <v>23</v>
      </c>
      <c r="J152" s="3">
        <v>32</v>
      </c>
    </row>
    <row r="153" spans="1:10" x14ac:dyDescent="0.25">
      <c r="A153" s="1" t="s">
        <v>306</v>
      </c>
      <c r="B153" s="2" t="s">
        <v>307</v>
      </c>
      <c r="C153" s="3">
        <v>2514</v>
      </c>
      <c r="D153" s="3">
        <v>1350</v>
      </c>
      <c r="E153" s="3">
        <v>2219</v>
      </c>
      <c r="F153" s="3">
        <v>2245</v>
      </c>
      <c r="G153" s="3">
        <v>2435</v>
      </c>
      <c r="H153" s="3">
        <v>2447</v>
      </c>
      <c r="I153" s="3">
        <v>2443</v>
      </c>
      <c r="J153" s="3">
        <v>3350</v>
      </c>
    </row>
    <row r="154" spans="1:10" x14ac:dyDescent="0.25">
      <c r="A154" s="1" t="s">
        <v>308</v>
      </c>
      <c r="B154" s="2" t="s">
        <v>309</v>
      </c>
      <c r="C154" s="3">
        <v>1475</v>
      </c>
      <c r="D154" s="3">
        <v>1019</v>
      </c>
      <c r="E154" s="3">
        <v>1340</v>
      </c>
      <c r="F154" s="3">
        <v>1305</v>
      </c>
      <c r="G154" s="3">
        <v>1273</v>
      </c>
      <c r="H154" s="3">
        <v>1432</v>
      </c>
      <c r="I154" s="3">
        <v>1922</v>
      </c>
      <c r="J154" s="3">
        <v>2367</v>
      </c>
    </row>
    <row r="155" spans="1:10" x14ac:dyDescent="0.25">
      <c r="A155" s="1" t="s">
        <v>310</v>
      </c>
      <c r="B155" s="2" t="s">
        <v>311</v>
      </c>
      <c r="C155" s="3">
        <v>19</v>
      </c>
      <c r="D155" s="3">
        <v>20</v>
      </c>
      <c r="E155" s="3">
        <v>31</v>
      </c>
      <c r="F155" s="3">
        <v>16</v>
      </c>
      <c r="G155" s="3">
        <v>18</v>
      </c>
      <c r="H155" s="3">
        <v>23</v>
      </c>
      <c r="I155" s="3">
        <v>26</v>
      </c>
      <c r="J155" s="3">
        <v>35</v>
      </c>
    </row>
    <row r="156" spans="1:10" x14ac:dyDescent="0.25">
      <c r="A156" s="5" t="s">
        <v>312</v>
      </c>
      <c r="B156" s="2" t="s">
        <v>313</v>
      </c>
      <c r="C156" s="3">
        <v>36</v>
      </c>
      <c r="D156" s="3">
        <v>28</v>
      </c>
      <c r="E156" s="3">
        <v>28</v>
      </c>
      <c r="F156" s="3">
        <v>27</v>
      </c>
      <c r="G156" s="3">
        <v>36</v>
      </c>
      <c r="H156" s="3">
        <v>36</v>
      </c>
      <c r="I156" s="3">
        <v>31</v>
      </c>
      <c r="J156" s="3">
        <v>42</v>
      </c>
    </row>
    <row r="157" spans="1:10" x14ac:dyDescent="0.25">
      <c r="A157" s="1" t="s">
        <v>314</v>
      </c>
      <c r="B157" s="2" t="s">
        <v>315</v>
      </c>
      <c r="C157" s="3">
        <v>298</v>
      </c>
      <c r="D157" s="3">
        <v>269</v>
      </c>
      <c r="E157" s="3">
        <v>379</v>
      </c>
      <c r="F157" s="3">
        <v>267</v>
      </c>
      <c r="G157" s="3">
        <v>280</v>
      </c>
      <c r="H157" s="3">
        <v>356</v>
      </c>
      <c r="I157" s="3">
        <v>712</v>
      </c>
      <c r="J157" s="3">
        <v>415</v>
      </c>
    </row>
    <row r="158" spans="1:10" x14ac:dyDescent="0.25">
      <c r="A158" s="1" t="s">
        <v>316</v>
      </c>
      <c r="B158" s="2" t="s">
        <v>317</v>
      </c>
      <c r="C158" s="3">
        <v>14</v>
      </c>
      <c r="D158" s="3">
        <v>15</v>
      </c>
      <c r="E158" s="3">
        <v>15</v>
      </c>
      <c r="F158" s="3">
        <v>13</v>
      </c>
      <c r="G158" s="3">
        <v>9</v>
      </c>
      <c r="H158" s="3">
        <v>16</v>
      </c>
      <c r="I158" s="3">
        <v>16</v>
      </c>
      <c r="J158" s="3">
        <v>30</v>
      </c>
    </row>
    <row r="159" spans="1:10" x14ac:dyDescent="0.25">
      <c r="A159" s="1" t="s">
        <v>318</v>
      </c>
      <c r="B159" s="2" t="s">
        <v>319</v>
      </c>
      <c r="C159" s="3">
        <v>107</v>
      </c>
      <c r="D159" s="3">
        <v>74</v>
      </c>
      <c r="E159" s="3">
        <v>86</v>
      </c>
      <c r="F159" s="3">
        <v>92</v>
      </c>
      <c r="G159" s="3">
        <v>65</v>
      </c>
      <c r="H159" s="3">
        <v>91</v>
      </c>
      <c r="I159" s="3">
        <v>107</v>
      </c>
      <c r="J159" s="3">
        <v>115</v>
      </c>
    </row>
    <row r="160" spans="1:10" x14ac:dyDescent="0.25">
      <c r="A160" s="1" t="s">
        <v>320</v>
      </c>
      <c r="B160" s="2" t="s">
        <v>321</v>
      </c>
      <c r="C160" s="3">
        <v>46</v>
      </c>
      <c r="D160" s="3">
        <v>42</v>
      </c>
      <c r="E160" s="3">
        <v>54</v>
      </c>
      <c r="F160" s="3">
        <v>41</v>
      </c>
      <c r="G160" s="3">
        <v>50</v>
      </c>
      <c r="H160" s="3">
        <v>57</v>
      </c>
      <c r="I160" s="3">
        <v>58</v>
      </c>
      <c r="J160" s="3">
        <v>75</v>
      </c>
    </row>
    <row r="161" spans="1:10" x14ac:dyDescent="0.25">
      <c r="A161" s="1" t="s">
        <v>322</v>
      </c>
      <c r="B161" s="2" t="s">
        <v>323</v>
      </c>
      <c r="C161" s="3">
        <v>12691</v>
      </c>
      <c r="D161" s="3">
        <v>7698</v>
      </c>
      <c r="E161" s="3">
        <v>11597</v>
      </c>
      <c r="F161" s="3">
        <v>10543</v>
      </c>
      <c r="G161" s="3">
        <v>9758</v>
      </c>
      <c r="H161" s="3">
        <v>11864</v>
      </c>
      <c r="I161" s="3">
        <v>16197</v>
      </c>
      <c r="J161" s="3">
        <v>18126</v>
      </c>
    </row>
    <row r="162" spans="1:10" x14ac:dyDescent="0.25">
      <c r="A162" s="1" t="s">
        <v>324</v>
      </c>
      <c r="B162" s="2" t="s">
        <v>325</v>
      </c>
      <c r="C162" s="3">
        <v>313</v>
      </c>
      <c r="D162" s="3">
        <v>188</v>
      </c>
      <c r="E162" s="3">
        <v>300</v>
      </c>
      <c r="F162" s="3">
        <v>269</v>
      </c>
      <c r="G162" s="3">
        <v>255</v>
      </c>
      <c r="H162" s="3">
        <v>318</v>
      </c>
      <c r="I162" s="3">
        <v>446</v>
      </c>
      <c r="J162" s="3">
        <v>372</v>
      </c>
    </row>
    <row r="163" spans="1:10" x14ac:dyDescent="0.25">
      <c r="A163" s="1" t="s">
        <v>326</v>
      </c>
      <c r="B163" s="2" t="s">
        <v>327</v>
      </c>
      <c r="C163" s="3">
        <v>13</v>
      </c>
      <c r="D163" s="3">
        <v>8</v>
      </c>
      <c r="E163" s="3">
        <v>15</v>
      </c>
      <c r="F163" s="3">
        <v>14</v>
      </c>
      <c r="G163" s="3">
        <v>17</v>
      </c>
      <c r="H163" s="3">
        <v>12</v>
      </c>
      <c r="I163" s="3">
        <v>27</v>
      </c>
      <c r="J163" s="3">
        <v>15</v>
      </c>
    </row>
    <row r="164" spans="1:10" x14ac:dyDescent="0.25">
      <c r="A164" s="1" t="s">
        <v>328</v>
      </c>
      <c r="B164" s="2" t="s">
        <v>329</v>
      </c>
      <c r="C164" s="3">
        <v>19</v>
      </c>
      <c r="D164" s="3">
        <v>24</v>
      </c>
      <c r="E164" s="3">
        <v>25</v>
      </c>
      <c r="F164" s="3">
        <v>12</v>
      </c>
      <c r="G164" s="3">
        <v>21</v>
      </c>
      <c r="H164" s="3">
        <v>18</v>
      </c>
      <c r="I164" s="3">
        <v>16</v>
      </c>
      <c r="J164" s="3">
        <v>28</v>
      </c>
    </row>
    <row r="165" spans="1:10" x14ac:dyDescent="0.25">
      <c r="A165" s="1" t="s">
        <v>330</v>
      </c>
      <c r="B165" s="2" t="s">
        <v>331</v>
      </c>
      <c r="C165" s="3">
        <v>11</v>
      </c>
      <c r="D165" s="3">
        <v>5</v>
      </c>
      <c r="E165" s="3">
        <v>5</v>
      </c>
      <c r="F165" s="3">
        <v>4</v>
      </c>
      <c r="G165" s="3">
        <v>7</v>
      </c>
      <c r="H165" s="3">
        <v>9</v>
      </c>
      <c r="I165" s="3">
        <v>9</v>
      </c>
      <c r="J165" s="3">
        <v>7</v>
      </c>
    </row>
    <row r="166" spans="1:10" x14ac:dyDescent="0.25">
      <c r="A166" s="1" t="s">
        <v>332</v>
      </c>
      <c r="B166" s="2" t="s">
        <v>333</v>
      </c>
      <c r="C166" s="3">
        <v>564</v>
      </c>
      <c r="D166" s="3">
        <v>400</v>
      </c>
      <c r="E166" s="3">
        <v>460</v>
      </c>
      <c r="F166" s="3">
        <v>465</v>
      </c>
      <c r="G166" s="3">
        <v>460</v>
      </c>
      <c r="H166" s="3">
        <v>548</v>
      </c>
      <c r="I166" s="3">
        <v>651</v>
      </c>
      <c r="J166" s="3">
        <v>680</v>
      </c>
    </row>
    <row r="167" spans="1:10" x14ac:dyDescent="0.25">
      <c r="A167" s="1" t="s">
        <v>334</v>
      </c>
      <c r="B167" s="2" t="s">
        <v>335</v>
      </c>
      <c r="C167" s="3">
        <v>465</v>
      </c>
      <c r="D167" s="3">
        <v>327</v>
      </c>
      <c r="E167" s="3">
        <v>399</v>
      </c>
      <c r="F167" s="3">
        <v>399</v>
      </c>
      <c r="G167" s="3">
        <v>433</v>
      </c>
      <c r="H167" s="3">
        <v>433</v>
      </c>
      <c r="I167" s="3">
        <v>489</v>
      </c>
      <c r="J167" s="3">
        <v>638</v>
      </c>
    </row>
    <row r="168" spans="1:10" x14ac:dyDescent="0.25">
      <c r="A168" s="1" t="s">
        <v>336</v>
      </c>
      <c r="B168" s="2" t="s">
        <v>337</v>
      </c>
      <c r="C168" s="3">
        <v>1117</v>
      </c>
      <c r="D168" s="3">
        <v>950</v>
      </c>
      <c r="E168" s="3">
        <v>942</v>
      </c>
      <c r="F168" s="3">
        <v>879</v>
      </c>
      <c r="G168" s="3">
        <v>889</v>
      </c>
      <c r="H168" s="3">
        <v>1083</v>
      </c>
      <c r="I168" s="3">
        <v>1450</v>
      </c>
      <c r="J168" s="3">
        <v>1379</v>
      </c>
    </row>
    <row r="169" spans="1:10" x14ac:dyDescent="0.25">
      <c r="A169" s="1" t="s">
        <v>338</v>
      </c>
      <c r="B169" s="2" t="s">
        <v>339</v>
      </c>
      <c r="C169" s="3">
        <v>1113</v>
      </c>
      <c r="D169" s="3">
        <v>852</v>
      </c>
      <c r="E169" s="3">
        <v>1050</v>
      </c>
      <c r="F169" s="3">
        <v>1010</v>
      </c>
      <c r="G169" s="3">
        <v>1072</v>
      </c>
      <c r="H169" s="3">
        <v>1129</v>
      </c>
      <c r="I169" s="3">
        <v>1133</v>
      </c>
      <c r="J169" s="3">
        <v>1415</v>
      </c>
    </row>
    <row r="170" spans="1:10" x14ac:dyDescent="0.25">
      <c r="A170" s="1" t="s">
        <v>340</v>
      </c>
      <c r="B170" s="2" t="s">
        <v>341</v>
      </c>
      <c r="C170" s="3">
        <v>145</v>
      </c>
      <c r="D170" s="3">
        <v>121</v>
      </c>
      <c r="E170" s="3">
        <v>157</v>
      </c>
      <c r="F170" s="3">
        <v>113</v>
      </c>
      <c r="G170" s="3">
        <v>144</v>
      </c>
      <c r="H170" s="3">
        <v>159</v>
      </c>
      <c r="I170" s="3">
        <v>197</v>
      </c>
      <c r="J170" s="3">
        <v>234</v>
      </c>
    </row>
    <row r="171" spans="1:10" x14ac:dyDescent="0.25">
      <c r="A171" s="1" t="s">
        <v>342</v>
      </c>
      <c r="B171" s="2" t="s">
        <v>343</v>
      </c>
      <c r="C171" s="3">
        <v>15</v>
      </c>
      <c r="D171" s="3">
        <v>12</v>
      </c>
      <c r="E171" s="3">
        <v>12</v>
      </c>
      <c r="F171" s="3">
        <v>16</v>
      </c>
      <c r="G171" s="3">
        <v>9</v>
      </c>
      <c r="H171" s="3">
        <v>10</v>
      </c>
      <c r="I171" s="3">
        <v>12</v>
      </c>
      <c r="J171" s="3">
        <v>17</v>
      </c>
    </row>
    <row r="172" spans="1:10" x14ac:dyDescent="0.25">
      <c r="A172" s="1" t="s">
        <v>344</v>
      </c>
      <c r="B172" s="2" t="s">
        <v>345</v>
      </c>
      <c r="C172" s="3">
        <v>5</v>
      </c>
      <c r="D172" s="3">
        <v>5</v>
      </c>
      <c r="E172" s="3">
        <v>6</v>
      </c>
      <c r="F172" s="3">
        <v>14</v>
      </c>
      <c r="G172" s="3">
        <v>4</v>
      </c>
      <c r="H172" s="3">
        <v>6</v>
      </c>
      <c r="I172" s="3">
        <v>9</v>
      </c>
      <c r="J172" s="3">
        <v>17</v>
      </c>
    </row>
    <row r="173" spans="1:10" x14ac:dyDescent="0.25">
      <c r="A173" s="1" t="s">
        <v>346</v>
      </c>
      <c r="B173" s="2" t="s">
        <v>347</v>
      </c>
      <c r="C173" s="3">
        <v>5049</v>
      </c>
      <c r="D173" s="3">
        <v>2571</v>
      </c>
      <c r="E173" s="3">
        <v>4865</v>
      </c>
      <c r="F173" s="3">
        <v>4484</v>
      </c>
      <c r="G173" s="3">
        <v>4539</v>
      </c>
      <c r="H173" s="3">
        <v>5532</v>
      </c>
      <c r="I173" s="3">
        <v>7952</v>
      </c>
      <c r="J173" s="3">
        <v>8204</v>
      </c>
    </row>
    <row r="174" spans="1:10" x14ac:dyDescent="0.25">
      <c r="A174" s="1" t="s">
        <v>348</v>
      </c>
      <c r="B174" s="2" t="s">
        <v>349</v>
      </c>
      <c r="C174" s="3">
        <v>93</v>
      </c>
      <c r="D174" s="3">
        <v>47</v>
      </c>
      <c r="E174" s="3">
        <v>87</v>
      </c>
      <c r="F174" s="3">
        <v>66</v>
      </c>
      <c r="G174" s="3">
        <v>60</v>
      </c>
      <c r="H174" s="3">
        <v>84</v>
      </c>
      <c r="I174" s="3">
        <v>135</v>
      </c>
      <c r="J174" s="3">
        <v>124</v>
      </c>
    </row>
    <row r="175" spans="1:10" x14ac:dyDescent="0.25">
      <c r="A175" s="1" t="s">
        <v>350</v>
      </c>
      <c r="B175" s="2" t="s">
        <v>351</v>
      </c>
      <c r="C175" s="3">
        <v>392</v>
      </c>
      <c r="D175" s="3">
        <v>266</v>
      </c>
      <c r="E175" s="3">
        <v>340</v>
      </c>
      <c r="F175" s="3">
        <v>351</v>
      </c>
      <c r="G175" s="3">
        <v>292</v>
      </c>
      <c r="H175" s="3">
        <v>366</v>
      </c>
      <c r="I175" s="3">
        <v>433</v>
      </c>
      <c r="J175" s="3">
        <v>557</v>
      </c>
    </row>
    <row r="176" spans="1:10" x14ac:dyDescent="0.25">
      <c r="A176" s="1" t="s">
        <v>352</v>
      </c>
      <c r="B176" s="2" t="s">
        <v>353</v>
      </c>
      <c r="C176" s="3">
        <v>9</v>
      </c>
      <c r="D176" s="3">
        <v>9</v>
      </c>
      <c r="E176" s="3">
        <v>8</v>
      </c>
      <c r="F176" s="3">
        <v>9</v>
      </c>
      <c r="G176" s="3">
        <v>11</v>
      </c>
      <c r="H176" s="3">
        <v>10</v>
      </c>
      <c r="I176" s="3">
        <v>13</v>
      </c>
      <c r="J176" s="3">
        <v>10</v>
      </c>
    </row>
    <row r="177" spans="1:10" x14ac:dyDescent="0.25">
      <c r="A177" s="1" t="s">
        <v>354</v>
      </c>
      <c r="B177" s="2" t="s">
        <v>355</v>
      </c>
      <c r="C177" s="3">
        <v>18</v>
      </c>
      <c r="D177" s="3">
        <v>6</v>
      </c>
      <c r="E177" s="3">
        <v>18</v>
      </c>
      <c r="F177" s="3">
        <v>10</v>
      </c>
      <c r="G177" s="3">
        <v>11</v>
      </c>
      <c r="H177" s="3">
        <v>11</v>
      </c>
      <c r="I177" s="3">
        <v>13</v>
      </c>
      <c r="J177" s="3">
        <v>13</v>
      </c>
    </row>
    <row r="178" spans="1:10" x14ac:dyDescent="0.25">
      <c r="A178" s="1" t="s">
        <v>356</v>
      </c>
      <c r="B178" s="2" t="s">
        <v>357</v>
      </c>
      <c r="C178" s="3">
        <v>899</v>
      </c>
      <c r="D178" s="3">
        <v>594</v>
      </c>
      <c r="E178" s="3">
        <v>786</v>
      </c>
      <c r="F178" s="3">
        <v>739</v>
      </c>
      <c r="G178" s="3">
        <v>789</v>
      </c>
      <c r="H178" s="3">
        <v>924</v>
      </c>
      <c r="I178" s="3">
        <v>1073</v>
      </c>
      <c r="J178" s="3">
        <v>1692</v>
      </c>
    </row>
    <row r="179" spans="1:10" x14ac:dyDescent="0.25">
      <c r="A179" s="1" t="s">
        <v>358</v>
      </c>
      <c r="B179" s="2" t="s">
        <v>359</v>
      </c>
      <c r="C179" s="3">
        <v>11</v>
      </c>
      <c r="D179" s="3">
        <v>13</v>
      </c>
      <c r="E179" s="3">
        <v>9</v>
      </c>
      <c r="F179" s="3">
        <v>10</v>
      </c>
      <c r="G179" s="3">
        <v>10</v>
      </c>
      <c r="H179" s="3">
        <v>11</v>
      </c>
      <c r="I179" s="3">
        <v>11</v>
      </c>
      <c r="J179" s="3">
        <v>8</v>
      </c>
    </row>
    <row r="180" spans="1:10" x14ac:dyDescent="0.25">
      <c r="A180" s="1" t="s">
        <v>360</v>
      </c>
      <c r="B180" s="2" t="s">
        <v>361</v>
      </c>
      <c r="C180" s="3">
        <v>11</v>
      </c>
      <c r="D180" s="3">
        <v>10</v>
      </c>
      <c r="E180" s="3">
        <v>9</v>
      </c>
      <c r="F180" s="3">
        <v>18</v>
      </c>
      <c r="G180" s="3">
        <v>20</v>
      </c>
      <c r="H180" s="3">
        <v>18</v>
      </c>
      <c r="I180" s="3">
        <v>29</v>
      </c>
      <c r="J180" s="3">
        <v>26</v>
      </c>
    </row>
    <row r="181" spans="1:10" x14ac:dyDescent="0.25">
      <c r="A181" s="1" t="s">
        <v>362</v>
      </c>
      <c r="B181" s="2" t="s">
        <v>363</v>
      </c>
      <c r="C181" s="3">
        <v>163</v>
      </c>
      <c r="D181" s="3">
        <v>97</v>
      </c>
      <c r="E181" s="3">
        <v>178</v>
      </c>
      <c r="F181" s="3">
        <v>128</v>
      </c>
      <c r="G181" s="3">
        <v>141</v>
      </c>
      <c r="H181" s="3">
        <v>161</v>
      </c>
      <c r="I181" s="3">
        <v>243</v>
      </c>
      <c r="J181" s="3">
        <v>274</v>
      </c>
    </row>
    <row r="182" spans="1:10" x14ac:dyDescent="0.25">
      <c r="A182" s="1" t="s">
        <v>364</v>
      </c>
      <c r="B182" s="2" t="s">
        <v>365</v>
      </c>
      <c r="C182" s="3">
        <v>1873</v>
      </c>
      <c r="D182" s="3">
        <v>1060</v>
      </c>
      <c r="E182" s="3">
        <v>2012</v>
      </c>
      <c r="F182" s="3">
        <v>1700</v>
      </c>
      <c r="G182" s="3">
        <v>1418</v>
      </c>
      <c r="H182" s="3">
        <v>2104</v>
      </c>
      <c r="I182" s="3">
        <v>3311</v>
      </c>
      <c r="J182" s="3">
        <v>2506</v>
      </c>
    </row>
    <row r="183" spans="1:10" x14ac:dyDescent="0.25">
      <c r="A183" s="1" t="s">
        <v>366</v>
      </c>
      <c r="B183" s="2" t="s">
        <v>367</v>
      </c>
      <c r="C183" s="3">
        <v>894</v>
      </c>
      <c r="D183" s="3">
        <v>567</v>
      </c>
      <c r="E183" s="3">
        <v>877</v>
      </c>
      <c r="F183" s="3">
        <v>761</v>
      </c>
      <c r="G183" s="3">
        <v>673</v>
      </c>
      <c r="H183" s="3">
        <v>811</v>
      </c>
      <c r="I183" s="3">
        <v>1437</v>
      </c>
      <c r="J183" s="3">
        <v>1124</v>
      </c>
    </row>
    <row r="184" spans="1:10" x14ac:dyDescent="0.25">
      <c r="A184" s="5" t="s">
        <v>368</v>
      </c>
      <c r="B184" s="2" t="s">
        <v>369</v>
      </c>
      <c r="C184" s="3">
        <v>31</v>
      </c>
      <c r="D184" s="3">
        <v>24</v>
      </c>
      <c r="E184" s="3">
        <v>19</v>
      </c>
      <c r="F184" s="3">
        <v>21</v>
      </c>
      <c r="G184" s="3">
        <v>27</v>
      </c>
      <c r="H184" s="3">
        <v>20</v>
      </c>
      <c r="I184" s="3">
        <v>31</v>
      </c>
      <c r="J184" s="3">
        <v>40</v>
      </c>
    </row>
    <row r="185" spans="1:10" x14ac:dyDescent="0.25">
      <c r="A185" s="1" t="s">
        <v>370</v>
      </c>
      <c r="B185" s="2" t="s">
        <v>371</v>
      </c>
      <c r="C185" s="3">
        <v>7</v>
      </c>
      <c r="D185" s="3">
        <v>7</v>
      </c>
      <c r="E185" s="3">
        <v>12</v>
      </c>
      <c r="F185" s="3">
        <v>11</v>
      </c>
      <c r="G185" s="3">
        <v>8</v>
      </c>
      <c r="H185" s="3">
        <v>3</v>
      </c>
      <c r="I185" s="3">
        <v>16</v>
      </c>
      <c r="J185" s="3">
        <v>11</v>
      </c>
    </row>
    <row r="186" spans="1:10" x14ac:dyDescent="0.25">
      <c r="A186" s="1" t="s">
        <v>372</v>
      </c>
      <c r="B186" s="2" t="s">
        <v>373</v>
      </c>
      <c r="C186" s="3">
        <v>112</v>
      </c>
      <c r="D186" s="3">
        <v>107</v>
      </c>
      <c r="E186" s="3">
        <v>100</v>
      </c>
      <c r="F186" s="3">
        <v>91</v>
      </c>
      <c r="G186" s="3">
        <v>87</v>
      </c>
      <c r="H186" s="3">
        <v>91</v>
      </c>
      <c r="I186" s="3">
        <v>137</v>
      </c>
      <c r="J186" s="3">
        <v>158</v>
      </c>
    </row>
    <row r="187" spans="1:10" x14ac:dyDescent="0.25">
      <c r="A187" s="1" t="s">
        <v>374</v>
      </c>
      <c r="B187" s="2" t="s">
        <v>375</v>
      </c>
      <c r="C187" s="3">
        <v>482</v>
      </c>
      <c r="D187" s="3">
        <v>296</v>
      </c>
      <c r="E187" s="3">
        <v>610</v>
      </c>
      <c r="F187" s="3">
        <v>465</v>
      </c>
      <c r="G187" s="3">
        <v>455</v>
      </c>
      <c r="H187" s="3">
        <v>526</v>
      </c>
      <c r="I187" s="3">
        <v>912</v>
      </c>
      <c r="J187" s="3">
        <v>678</v>
      </c>
    </row>
    <row r="188" spans="1:10" x14ac:dyDescent="0.25">
      <c r="A188" s="1" t="s">
        <v>376</v>
      </c>
      <c r="B188" s="2" t="s">
        <v>377</v>
      </c>
      <c r="C188" s="3">
        <v>46</v>
      </c>
      <c r="D188" s="3">
        <v>38</v>
      </c>
      <c r="E188" s="3">
        <v>58</v>
      </c>
      <c r="F188" s="3">
        <v>41</v>
      </c>
      <c r="G188" s="3">
        <v>51</v>
      </c>
      <c r="H188" s="3">
        <v>59</v>
      </c>
      <c r="I188" s="3">
        <v>93</v>
      </c>
      <c r="J188" s="3">
        <v>62</v>
      </c>
    </row>
    <row r="189" spans="1:10" x14ac:dyDescent="0.25">
      <c r="A189" s="1" t="s">
        <v>378</v>
      </c>
      <c r="B189" s="2" t="s">
        <v>379</v>
      </c>
      <c r="C189" s="3">
        <v>317</v>
      </c>
      <c r="D189" s="3">
        <v>177</v>
      </c>
      <c r="E189" s="3">
        <v>327</v>
      </c>
      <c r="F189" s="3">
        <v>257</v>
      </c>
      <c r="G189" s="3">
        <v>303</v>
      </c>
      <c r="H189" s="3">
        <v>332</v>
      </c>
      <c r="I189" s="3">
        <v>549</v>
      </c>
      <c r="J189" s="3">
        <v>458</v>
      </c>
    </row>
    <row r="190" spans="1:10" x14ac:dyDescent="0.25">
      <c r="A190" s="1" t="s">
        <v>380</v>
      </c>
      <c r="B190" s="2" t="s">
        <v>483</v>
      </c>
      <c r="C190" s="3">
        <v>797</v>
      </c>
      <c r="D190" s="3">
        <v>550</v>
      </c>
      <c r="E190" s="3">
        <v>836</v>
      </c>
      <c r="F190" s="3">
        <v>708</v>
      </c>
      <c r="G190" s="3">
        <v>774</v>
      </c>
      <c r="H190" s="3">
        <v>925</v>
      </c>
      <c r="I190" s="3">
        <v>1499</v>
      </c>
      <c r="J190" s="3">
        <v>1192</v>
      </c>
    </row>
    <row r="191" spans="1:10" ht="14.4" x14ac:dyDescent="0.3">
      <c r="A191" s="13" t="s">
        <v>380</v>
      </c>
      <c r="B191" s="14" t="s">
        <v>381</v>
      </c>
      <c r="C191" s="14">
        <v>724</v>
      </c>
      <c r="D191" s="14">
        <v>704</v>
      </c>
      <c r="E191" s="14">
        <v>694</v>
      </c>
      <c r="F191" s="14">
        <v>846</v>
      </c>
      <c r="G191" s="14">
        <v>652</v>
      </c>
      <c r="H191" s="14">
        <v>975</v>
      </c>
      <c r="I191" s="14">
        <v>1720</v>
      </c>
      <c r="J191" s="14">
        <v>1098</v>
      </c>
    </row>
    <row r="192" spans="1:10" x14ac:dyDescent="0.25">
      <c r="A192" s="1" t="s">
        <v>382</v>
      </c>
      <c r="B192" s="2" t="s">
        <v>383</v>
      </c>
      <c r="C192" s="3">
        <v>69</v>
      </c>
      <c r="D192" s="3">
        <v>66</v>
      </c>
      <c r="E192" s="3">
        <v>59</v>
      </c>
      <c r="F192" s="3">
        <v>64</v>
      </c>
      <c r="G192" s="3">
        <v>61</v>
      </c>
      <c r="H192" s="3">
        <v>61</v>
      </c>
      <c r="I192" s="3">
        <v>68</v>
      </c>
      <c r="J192" s="3">
        <v>101</v>
      </c>
    </row>
    <row r="193" spans="1:10" x14ac:dyDescent="0.25">
      <c r="A193" s="1" t="s">
        <v>384</v>
      </c>
      <c r="B193" s="2" t="s">
        <v>385</v>
      </c>
      <c r="C193" s="3">
        <v>164</v>
      </c>
      <c r="D193" s="3">
        <v>138</v>
      </c>
      <c r="E193" s="3">
        <v>206</v>
      </c>
      <c r="F193" s="3">
        <v>157</v>
      </c>
      <c r="G193" s="3">
        <v>158</v>
      </c>
      <c r="H193" s="3">
        <v>185</v>
      </c>
      <c r="I193" s="3">
        <v>326</v>
      </c>
      <c r="J193" s="3">
        <v>251</v>
      </c>
    </row>
    <row r="194" spans="1:10" x14ac:dyDescent="0.25">
      <c r="A194" s="1" t="s">
        <v>386</v>
      </c>
      <c r="B194" s="2" t="s">
        <v>387</v>
      </c>
      <c r="C194" s="3">
        <v>51</v>
      </c>
      <c r="D194" s="3">
        <v>21</v>
      </c>
      <c r="E194" s="3">
        <v>40</v>
      </c>
      <c r="F194" s="3">
        <v>36</v>
      </c>
      <c r="G194" s="3">
        <v>33</v>
      </c>
      <c r="H194" s="3">
        <v>32</v>
      </c>
      <c r="I194" s="3">
        <v>69</v>
      </c>
      <c r="J194" s="3">
        <v>59</v>
      </c>
    </row>
    <row r="195" spans="1:10" x14ac:dyDescent="0.25">
      <c r="A195" s="1" t="s">
        <v>388</v>
      </c>
      <c r="B195" s="2" t="s">
        <v>389</v>
      </c>
      <c r="C195" s="3">
        <v>33</v>
      </c>
      <c r="D195" s="3">
        <v>22</v>
      </c>
      <c r="E195" s="3">
        <v>24</v>
      </c>
      <c r="F195" s="3">
        <v>27</v>
      </c>
      <c r="G195" s="3">
        <v>37</v>
      </c>
      <c r="H195" s="3">
        <v>30</v>
      </c>
      <c r="I195" s="3">
        <v>36</v>
      </c>
      <c r="J195" s="3">
        <v>45</v>
      </c>
    </row>
    <row r="196" spans="1:10" x14ac:dyDescent="0.25">
      <c r="A196" s="1" t="s">
        <v>390</v>
      </c>
      <c r="B196" s="2" t="s">
        <v>391</v>
      </c>
      <c r="C196" s="3">
        <v>736</v>
      </c>
      <c r="D196" s="3">
        <v>473</v>
      </c>
      <c r="E196" s="3">
        <v>788</v>
      </c>
      <c r="F196" s="3">
        <v>587</v>
      </c>
      <c r="G196" s="3">
        <v>670</v>
      </c>
      <c r="H196" s="3">
        <v>909</v>
      </c>
      <c r="I196" s="3">
        <v>1244</v>
      </c>
      <c r="J196" s="3">
        <v>1031</v>
      </c>
    </row>
    <row r="197" spans="1:10" x14ac:dyDescent="0.25">
      <c r="A197" s="1" t="s">
        <v>392</v>
      </c>
      <c r="B197" s="2" t="s">
        <v>393</v>
      </c>
      <c r="C197" s="3">
        <v>95</v>
      </c>
      <c r="D197" s="3">
        <v>53</v>
      </c>
      <c r="E197" s="3">
        <v>68</v>
      </c>
      <c r="F197" s="3">
        <v>76</v>
      </c>
      <c r="G197" s="3">
        <v>85</v>
      </c>
      <c r="H197" s="3">
        <v>94</v>
      </c>
      <c r="I197" s="3">
        <v>103</v>
      </c>
      <c r="J197" s="3">
        <v>134</v>
      </c>
    </row>
    <row r="198" spans="1:10" x14ac:dyDescent="0.25">
      <c r="A198" s="1" t="s">
        <v>394</v>
      </c>
      <c r="B198" s="2" t="s">
        <v>395</v>
      </c>
      <c r="C198" s="3">
        <v>1655</v>
      </c>
      <c r="D198" s="3">
        <v>1165</v>
      </c>
      <c r="E198" s="3">
        <v>1877</v>
      </c>
      <c r="F198" s="3">
        <v>1682</v>
      </c>
      <c r="G198" s="3">
        <v>1790</v>
      </c>
      <c r="H198" s="3">
        <v>1803</v>
      </c>
      <c r="I198" s="3">
        <v>2193</v>
      </c>
      <c r="J198" s="3">
        <v>2449</v>
      </c>
    </row>
    <row r="199" spans="1:10" x14ac:dyDescent="0.25">
      <c r="A199" s="1" t="s">
        <v>396</v>
      </c>
      <c r="B199" s="2" t="s">
        <v>397</v>
      </c>
      <c r="C199" s="3">
        <v>3369</v>
      </c>
      <c r="D199" s="3">
        <v>2067</v>
      </c>
      <c r="E199" s="3">
        <v>3310</v>
      </c>
      <c r="F199" s="3">
        <v>2922</v>
      </c>
      <c r="G199" s="3">
        <v>3144</v>
      </c>
      <c r="H199" s="3">
        <v>3499</v>
      </c>
      <c r="I199" s="3">
        <v>5263</v>
      </c>
      <c r="J199" s="3">
        <v>4942</v>
      </c>
    </row>
    <row r="200" spans="1:10" x14ac:dyDescent="0.25">
      <c r="A200" s="1" t="s">
        <v>398</v>
      </c>
      <c r="B200" s="2" t="s">
        <v>399</v>
      </c>
      <c r="C200" s="3">
        <v>26</v>
      </c>
      <c r="D200" s="3">
        <v>26</v>
      </c>
      <c r="E200" s="3">
        <v>28</v>
      </c>
      <c r="F200" s="3">
        <v>27</v>
      </c>
      <c r="G200" s="3">
        <v>26</v>
      </c>
      <c r="H200" s="3">
        <v>31</v>
      </c>
      <c r="I200" s="3">
        <v>54</v>
      </c>
      <c r="J200" s="3">
        <v>33</v>
      </c>
    </row>
    <row r="201" spans="1:10" x14ac:dyDescent="0.25">
      <c r="A201" s="1" t="s">
        <v>400</v>
      </c>
      <c r="B201" s="2" t="s">
        <v>401</v>
      </c>
      <c r="C201" s="3">
        <v>396</v>
      </c>
      <c r="D201" s="3">
        <v>186</v>
      </c>
      <c r="E201" s="3">
        <v>319</v>
      </c>
      <c r="F201" s="3">
        <v>268</v>
      </c>
      <c r="G201" s="3">
        <v>302</v>
      </c>
      <c r="H201" s="3">
        <v>296</v>
      </c>
      <c r="I201" s="3">
        <v>412</v>
      </c>
      <c r="J201" s="3">
        <v>528</v>
      </c>
    </row>
    <row r="202" spans="1:10" x14ac:dyDescent="0.25">
      <c r="A202" s="1" t="s">
        <v>402</v>
      </c>
      <c r="B202" s="2" t="s">
        <v>403</v>
      </c>
      <c r="C202" s="3">
        <v>8</v>
      </c>
      <c r="D202" s="3">
        <v>8</v>
      </c>
      <c r="E202" s="3">
        <v>14</v>
      </c>
      <c r="F202" s="3">
        <v>7</v>
      </c>
      <c r="G202" s="3">
        <v>20</v>
      </c>
      <c r="H202" s="3">
        <v>13</v>
      </c>
      <c r="I202" s="3">
        <v>14</v>
      </c>
      <c r="J202" s="3">
        <v>24</v>
      </c>
    </row>
    <row r="203" spans="1:10" x14ac:dyDescent="0.25">
      <c r="A203" s="1" t="s">
        <v>404</v>
      </c>
      <c r="B203" s="2" t="s">
        <v>405</v>
      </c>
      <c r="C203" s="3">
        <v>73</v>
      </c>
      <c r="D203" s="3">
        <v>55</v>
      </c>
      <c r="E203" s="3">
        <v>75</v>
      </c>
      <c r="F203" s="3">
        <v>53</v>
      </c>
      <c r="G203" s="3">
        <v>52</v>
      </c>
      <c r="H203" s="3">
        <v>75</v>
      </c>
      <c r="I203" s="3">
        <v>127</v>
      </c>
      <c r="J203" s="3">
        <v>117</v>
      </c>
    </row>
    <row r="204" spans="1:10" x14ac:dyDescent="0.25">
      <c r="A204" s="1" t="s">
        <v>406</v>
      </c>
      <c r="B204" s="2" t="s">
        <v>407</v>
      </c>
      <c r="C204" s="3">
        <v>461</v>
      </c>
      <c r="D204" s="3">
        <v>329</v>
      </c>
      <c r="E204" s="3">
        <v>501</v>
      </c>
      <c r="F204" s="3">
        <v>434</v>
      </c>
      <c r="G204" s="3">
        <v>405</v>
      </c>
      <c r="H204" s="3">
        <v>519</v>
      </c>
      <c r="I204" s="3">
        <v>814</v>
      </c>
      <c r="J204" s="3">
        <v>544</v>
      </c>
    </row>
    <row r="205" spans="1:10" x14ac:dyDescent="0.25">
      <c r="A205" s="1" t="s">
        <v>408</v>
      </c>
      <c r="B205" s="2" t="s">
        <v>409</v>
      </c>
      <c r="C205" s="3">
        <v>1621</v>
      </c>
      <c r="D205" s="3">
        <v>1166</v>
      </c>
      <c r="E205" s="3">
        <v>1656</v>
      </c>
      <c r="F205" s="3">
        <v>1453</v>
      </c>
      <c r="G205" s="3">
        <v>1515</v>
      </c>
      <c r="H205" s="3">
        <v>1711</v>
      </c>
      <c r="I205" s="3">
        <v>2841</v>
      </c>
      <c r="J205" s="3">
        <v>2633</v>
      </c>
    </row>
    <row r="206" spans="1:10" x14ac:dyDescent="0.25">
      <c r="A206" s="1" t="s">
        <v>410</v>
      </c>
      <c r="B206" s="2" t="s">
        <v>411</v>
      </c>
      <c r="C206" s="3">
        <v>10</v>
      </c>
      <c r="D206" s="3">
        <v>4</v>
      </c>
      <c r="E206" s="3">
        <v>7</v>
      </c>
      <c r="F206" s="3">
        <v>8</v>
      </c>
      <c r="G206" s="3">
        <v>12</v>
      </c>
      <c r="H206" s="3">
        <v>13</v>
      </c>
      <c r="I206" s="3">
        <v>10</v>
      </c>
      <c r="J206" s="3">
        <v>7</v>
      </c>
    </row>
    <row r="207" spans="1:10" x14ac:dyDescent="0.25">
      <c r="A207" s="1" t="s">
        <v>412</v>
      </c>
      <c r="B207" s="2" t="s">
        <v>413</v>
      </c>
      <c r="C207" s="3">
        <v>10</v>
      </c>
      <c r="D207" s="3">
        <v>4</v>
      </c>
      <c r="E207" s="3">
        <v>7</v>
      </c>
      <c r="F207" s="3">
        <v>11</v>
      </c>
      <c r="G207" s="3">
        <v>10</v>
      </c>
      <c r="H207" s="3">
        <v>13</v>
      </c>
      <c r="I207" s="3">
        <v>10</v>
      </c>
      <c r="J207" s="3">
        <v>17</v>
      </c>
    </row>
    <row r="208" spans="1:10" x14ac:dyDescent="0.25">
      <c r="A208" s="1" t="s">
        <v>414</v>
      </c>
      <c r="B208" s="2" t="s">
        <v>415</v>
      </c>
      <c r="C208" s="3">
        <v>8</v>
      </c>
      <c r="D208" s="3">
        <v>6</v>
      </c>
      <c r="E208" s="3">
        <v>6</v>
      </c>
      <c r="F208" s="3">
        <v>12</v>
      </c>
      <c r="G208" s="3">
        <v>9</v>
      </c>
      <c r="H208" s="3">
        <v>6</v>
      </c>
      <c r="I208" s="3">
        <v>5</v>
      </c>
      <c r="J208" s="3">
        <v>10</v>
      </c>
    </row>
    <row r="209" spans="1:10" x14ac:dyDescent="0.25">
      <c r="A209" s="1" t="s">
        <v>416</v>
      </c>
      <c r="B209" s="2" t="s">
        <v>417</v>
      </c>
      <c r="C209" s="3">
        <v>42</v>
      </c>
      <c r="D209" s="3">
        <v>26</v>
      </c>
      <c r="E209" s="3">
        <v>42</v>
      </c>
      <c r="F209" s="3">
        <v>34</v>
      </c>
      <c r="G209" s="3">
        <v>40</v>
      </c>
      <c r="H209" s="3">
        <v>35</v>
      </c>
      <c r="I209" s="3">
        <v>54</v>
      </c>
      <c r="J209" s="3">
        <v>67</v>
      </c>
    </row>
    <row r="210" spans="1:10" x14ac:dyDescent="0.25">
      <c r="A210" s="1" t="s">
        <v>418</v>
      </c>
      <c r="B210" s="2" t="s">
        <v>419</v>
      </c>
      <c r="C210" s="3">
        <v>981</v>
      </c>
      <c r="D210" s="3">
        <v>475</v>
      </c>
      <c r="E210" s="3">
        <v>936</v>
      </c>
      <c r="F210" s="3">
        <v>831</v>
      </c>
      <c r="G210" s="3">
        <v>806</v>
      </c>
      <c r="H210" s="3">
        <v>972</v>
      </c>
      <c r="I210" s="3">
        <v>1427</v>
      </c>
      <c r="J210" s="3">
        <v>1305</v>
      </c>
    </row>
    <row r="211" spans="1:10" x14ac:dyDescent="0.25">
      <c r="A211" s="1" t="s">
        <v>420</v>
      </c>
      <c r="B211" s="2" t="s">
        <v>421</v>
      </c>
      <c r="C211" s="3">
        <v>79</v>
      </c>
      <c r="D211" s="3">
        <v>63</v>
      </c>
      <c r="E211" s="3">
        <v>82</v>
      </c>
      <c r="F211" s="3">
        <v>76</v>
      </c>
      <c r="G211" s="3">
        <v>78</v>
      </c>
      <c r="H211" s="3">
        <v>90</v>
      </c>
      <c r="I211" s="3">
        <v>75</v>
      </c>
      <c r="J211" s="3">
        <v>114</v>
      </c>
    </row>
    <row r="212" spans="1:10" x14ac:dyDescent="0.25">
      <c r="A212" s="1" t="s">
        <v>422</v>
      </c>
      <c r="B212" s="2" t="s">
        <v>423</v>
      </c>
      <c r="C212" s="3">
        <v>1585</v>
      </c>
      <c r="D212" s="3">
        <v>1224</v>
      </c>
      <c r="E212" s="3">
        <v>1602</v>
      </c>
      <c r="F212" s="3">
        <v>1348</v>
      </c>
      <c r="G212" s="3">
        <v>1309</v>
      </c>
      <c r="H212" s="3">
        <v>1655</v>
      </c>
      <c r="I212" s="3">
        <v>2679</v>
      </c>
      <c r="J212" s="3">
        <v>2221</v>
      </c>
    </row>
    <row r="213" spans="1:10" x14ac:dyDescent="0.25">
      <c r="A213" s="1" t="s">
        <v>424</v>
      </c>
      <c r="B213" s="2" t="s">
        <v>425</v>
      </c>
      <c r="C213" s="3">
        <v>173</v>
      </c>
      <c r="D213" s="3">
        <v>114</v>
      </c>
      <c r="E213" s="3">
        <v>191</v>
      </c>
      <c r="F213" s="3">
        <v>138</v>
      </c>
      <c r="G213" s="3">
        <v>135</v>
      </c>
      <c r="H213" s="3">
        <v>180</v>
      </c>
      <c r="I213" s="3">
        <v>275</v>
      </c>
      <c r="J213" s="3">
        <v>252</v>
      </c>
    </row>
    <row r="214" spans="1:10" x14ac:dyDescent="0.25">
      <c r="A214" s="1" t="s">
        <v>426</v>
      </c>
      <c r="B214" s="2" t="s">
        <v>427</v>
      </c>
      <c r="C214" s="3">
        <v>2214</v>
      </c>
      <c r="D214" s="3">
        <v>2104</v>
      </c>
      <c r="E214" s="3">
        <v>1864</v>
      </c>
      <c r="F214" s="3">
        <v>1901</v>
      </c>
      <c r="G214" s="3">
        <v>2161</v>
      </c>
      <c r="H214" s="3">
        <v>2024</v>
      </c>
      <c r="I214" s="3">
        <v>2306</v>
      </c>
      <c r="J214" s="3">
        <v>2915</v>
      </c>
    </row>
    <row r="215" spans="1:10" x14ac:dyDescent="0.25">
      <c r="A215" s="1" t="s">
        <v>428</v>
      </c>
      <c r="B215" s="2" t="s">
        <v>429</v>
      </c>
      <c r="C215" s="3">
        <v>4587</v>
      </c>
      <c r="D215" s="3">
        <v>3317</v>
      </c>
      <c r="E215" s="3">
        <v>4347</v>
      </c>
      <c r="F215" s="3">
        <v>4157</v>
      </c>
      <c r="G215" s="3">
        <v>4014</v>
      </c>
      <c r="H215" s="3">
        <v>4958</v>
      </c>
      <c r="I215" s="3">
        <v>7259</v>
      </c>
      <c r="J215" s="3">
        <v>7010</v>
      </c>
    </row>
    <row r="216" spans="1:10" x14ac:dyDescent="0.25">
      <c r="A216" s="1" t="s">
        <v>430</v>
      </c>
      <c r="B216" s="2" t="s">
        <v>431</v>
      </c>
      <c r="C216" s="3">
        <v>322</v>
      </c>
      <c r="D216" s="3">
        <v>253</v>
      </c>
      <c r="E216" s="3">
        <v>298</v>
      </c>
      <c r="F216" s="3">
        <v>293</v>
      </c>
      <c r="G216" s="3">
        <v>257</v>
      </c>
      <c r="H216" s="3">
        <v>302</v>
      </c>
      <c r="I216" s="3">
        <v>617</v>
      </c>
      <c r="J216" s="3">
        <v>527</v>
      </c>
    </row>
    <row r="217" spans="1:10" x14ac:dyDescent="0.25">
      <c r="A217" s="5" t="s">
        <v>432</v>
      </c>
      <c r="B217" s="2" t="s">
        <v>433</v>
      </c>
      <c r="C217" s="3">
        <v>31</v>
      </c>
      <c r="D217" s="3">
        <v>27</v>
      </c>
      <c r="E217" s="3">
        <v>42</v>
      </c>
      <c r="F217" s="3">
        <v>34</v>
      </c>
      <c r="G217" s="3">
        <v>45</v>
      </c>
      <c r="H217" s="3">
        <v>46</v>
      </c>
      <c r="I217" s="3">
        <v>67</v>
      </c>
      <c r="J217" s="3">
        <v>53</v>
      </c>
    </row>
    <row r="218" spans="1:10" x14ac:dyDescent="0.25">
      <c r="A218" s="1" t="s">
        <v>434</v>
      </c>
      <c r="B218" s="2" t="s">
        <v>435</v>
      </c>
      <c r="C218" s="3">
        <v>14</v>
      </c>
      <c r="D218" s="3">
        <v>15</v>
      </c>
      <c r="E218" s="3">
        <v>17</v>
      </c>
      <c r="F218" s="3">
        <v>17</v>
      </c>
      <c r="G218" s="3">
        <v>22</v>
      </c>
      <c r="H218" s="3">
        <v>16</v>
      </c>
      <c r="I218" s="3">
        <v>22</v>
      </c>
      <c r="J218" s="3">
        <v>22</v>
      </c>
    </row>
    <row r="219" spans="1:10" x14ac:dyDescent="0.25">
      <c r="A219" s="1" t="s">
        <v>436</v>
      </c>
      <c r="B219" s="2" t="s">
        <v>437</v>
      </c>
      <c r="C219" s="3">
        <v>1322</v>
      </c>
      <c r="D219" s="3">
        <v>713</v>
      </c>
      <c r="E219" s="3">
        <v>1118</v>
      </c>
      <c r="F219" s="3">
        <v>1075</v>
      </c>
      <c r="G219" s="3">
        <v>1281</v>
      </c>
      <c r="H219" s="3">
        <v>1292</v>
      </c>
      <c r="I219" s="3">
        <v>1301</v>
      </c>
      <c r="J219" s="3">
        <v>2103</v>
      </c>
    </row>
    <row r="220" spans="1:10" x14ac:dyDescent="0.25">
      <c r="A220" s="1" t="s">
        <v>438</v>
      </c>
      <c r="B220" s="2" t="s">
        <v>439</v>
      </c>
      <c r="C220" s="3">
        <v>521</v>
      </c>
      <c r="D220" s="3">
        <v>288</v>
      </c>
      <c r="E220" s="3">
        <v>414</v>
      </c>
      <c r="F220" s="3">
        <v>444</v>
      </c>
      <c r="G220" s="3">
        <v>449</v>
      </c>
      <c r="H220" s="3">
        <v>438</v>
      </c>
      <c r="I220" s="3">
        <v>692</v>
      </c>
      <c r="J220" s="3">
        <v>736</v>
      </c>
    </row>
    <row r="221" spans="1:10" x14ac:dyDescent="0.25">
      <c r="A221" s="1" t="s">
        <v>440</v>
      </c>
      <c r="B221" s="2" t="s">
        <v>441</v>
      </c>
      <c r="C221" s="3">
        <v>3</v>
      </c>
      <c r="D221" s="3">
        <v>2</v>
      </c>
      <c r="E221" s="3">
        <v>5</v>
      </c>
      <c r="F221" s="3">
        <v>6</v>
      </c>
      <c r="G221" s="3">
        <v>4</v>
      </c>
      <c r="H221" s="3">
        <v>5</v>
      </c>
      <c r="I221" s="3">
        <v>10</v>
      </c>
      <c r="J221" s="3">
        <v>7</v>
      </c>
    </row>
    <row r="222" spans="1:10" x14ac:dyDescent="0.25">
      <c r="A222" s="1" t="s">
        <v>442</v>
      </c>
      <c r="B222" s="2" t="s">
        <v>443</v>
      </c>
      <c r="C222" s="3">
        <v>42</v>
      </c>
      <c r="D222" s="3">
        <v>24</v>
      </c>
      <c r="E222" s="3">
        <v>37</v>
      </c>
      <c r="F222" s="3">
        <v>36</v>
      </c>
      <c r="G222" s="3">
        <v>46</v>
      </c>
      <c r="H222" s="3">
        <v>30</v>
      </c>
      <c r="I222" s="3">
        <v>34</v>
      </c>
      <c r="J222" s="3">
        <v>64</v>
      </c>
    </row>
    <row r="223" spans="1:10" x14ac:dyDescent="0.25">
      <c r="A223" s="1" t="s">
        <v>444</v>
      </c>
      <c r="B223" s="2" t="s">
        <v>445</v>
      </c>
      <c r="C223" s="3">
        <v>511</v>
      </c>
      <c r="D223" s="3">
        <v>310</v>
      </c>
      <c r="E223" s="3">
        <v>570</v>
      </c>
      <c r="F223" s="3">
        <v>482</v>
      </c>
      <c r="G223" s="3">
        <v>490</v>
      </c>
      <c r="H223" s="3">
        <v>626</v>
      </c>
      <c r="I223" s="3">
        <v>907</v>
      </c>
      <c r="J223" s="3">
        <v>810</v>
      </c>
    </row>
    <row r="224" spans="1:10" x14ac:dyDescent="0.25">
      <c r="A224" s="1" t="s">
        <v>446</v>
      </c>
      <c r="B224" s="2" t="s">
        <v>447</v>
      </c>
      <c r="C224" s="3">
        <v>6</v>
      </c>
      <c r="D224" s="3">
        <v>7</v>
      </c>
      <c r="E224" s="3">
        <v>10</v>
      </c>
      <c r="F224" s="3">
        <v>12</v>
      </c>
      <c r="G224" s="3">
        <v>11</v>
      </c>
      <c r="H224" s="3">
        <v>9</v>
      </c>
      <c r="I224" s="3">
        <v>9</v>
      </c>
      <c r="J224" s="3">
        <v>11</v>
      </c>
    </row>
    <row r="225" spans="1:10" x14ac:dyDescent="0.25">
      <c r="A225" s="1" t="s">
        <v>448</v>
      </c>
      <c r="B225" s="2" t="s">
        <v>449</v>
      </c>
      <c r="C225" s="3">
        <v>9</v>
      </c>
      <c r="D225" s="3">
        <v>5</v>
      </c>
      <c r="E225" s="3">
        <v>17</v>
      </c>
      <c r="F225" s="3">
        <v>12</v>
      </c>
      <c r="G225" s="3">
        <v>11</v>
      </c>
      <c r="H225" s="3">
        <v>11</v>
      </c>
      <c r="I225" s="3">
        <v>13</v>
      </c>
      <c r="J225" s="3">
        <v>12</v>
      </c>
    </row>
    <row r="226" spans="1:10" x14ac:dyDescent="0.25">
      <c r="A226" s="1" t="s">
        <v>450</v>
      </c>
      <c r="B226" s="2" t="s">
        <v>451</v>
      </c>
      <c r="C226" s="3">
        <v>533</v>
      </c>
      <c r="D226" s="3">
        <v>334</v>
      </c>
      <c r="E226" s="3">
        <v>625</v>
      </c>
      <c r="F226" s="3">
        <v>453</v>
      </c>
      <c r="G226" s="3">
        <v>487</v>
      </c>
      <c r="H226" s="3">
        <v>564</v>
      </c>
      <c r="I226" s="3">
        <v>1012</v>
      </c>
      <c r="J226" s="3">
        <v>848</v>
      </c>
    </row>
    <row r="227" spans="1:10" x14ac:dyDescent="0.25">
      <c r="A227" s="1" t="s">
        <v>452</v>
      </c>
      <c r="B227" s="2" t="s">
        <v>453</v>
      </c>
      <c r="C227" s="3">
        <v>829</v>
      </c>
      <c r="D227" s="3">
        <v>698</v>
      </c>
      <c r="E227" s="3">
        <v>986</v>
      </c>
      <c r="F227" s="3">
        <v>801</v>
      </c>
      <c r="G227" s="3">
        <v>742</v>
      </c>
      <c r="H227" s="3">
        <v>1060</v>
      </c>
      <c r="I227" s="3">
        <v>1297</v>
      </c>
      <c r="J227" s="3">
        <v>1130</v>
      </c>
    </row>
    <row r="228" spans="1:10" x14ac:dyDescent="0.25">
      <c r="A228" s="1" t="s">
        <v>454</v>
      </c>
      <c r="B228" s="2" t="s">
        <v>455</v>
      </c>
      <c r="C228" s="3">
        <v>2275</v>
      </c>
      <c r="D228" s="3">
        <v>1454</v>
      </c>
      <c r="E228" s="3">
        <v>1846</v>
      </c>
      <c r="F228" s="3">
        <v>1856</v>
      </c>
      <c r="G228" s="3">
        <v>1862</v>
      </c>
      <c r="H228" s="3">
        <v>1989</v>
      </c>
      <c r="I228" s="3">
        <v>2387</v>
      </c>
      <c r="J228" s="3">
        <v>3257</v>
      </c>
    </row>
    <row r="229" spans="1:10" x14ac:dyDescent="0.25">
      <c r="A229" s="1" t="s">
        <v>456</v>
      </c>
      <c r="B229" s="2" t="s">
        <v>457</v>
      </c>
      <c r="C229" s="3">
        <v>133</v>
      </c>
      <c r="D229" s="3">
        <v>106</v>
      </c>
      <c r="E229" s="3">
        <v>141</v>
      </c>
      <c r="F229" s="3">
        <v>116</v>
      </c>
      <c r="G229" s="3">
        <v>130</v>
      </c>
      <c r="H229" s="3">
        <v>174</v>
      </c>
      <c r="I229" s="3">
        <v>220</v>
      </c>
      <c r="J229" s="3">
        <v>223</v>
      </c>
    </row>
    <row r="230" spans="1:10" x14ac:dyDescent="0.25">
      <c r="A230" s="1" t="s">
        <v>458</v>
      </c>
      <c r="B230" s="2" t="s">
        <v>459</v>
      </c>
      <c r="C230" s="3">
        <v>15082</v>
      </c>
      <c r="D230" s="3">
        <v>10058</v>
      </c>
      <c r="E230" s="3">
        <v>13060</v>
      </c>
      <c r="F230" s="3">
        <v>12865</v>
      </c>
      <c r="G230" s="3">
        <v>13970</v>
      </c>
      <c r="H230" s="3">
        <v>14166</v>
      </c>
      <c r="I230" s="3">
        <v>15821</v>
      </c>
      <c r="J230" s="3">
        <v>20548</v>
      </c>
    </row>
    <row r="231" spans="1:10" x14ac:dyDescent="0.25">
      <c r="A231" s="1" t="s">
        <v>460</v>
      </c>
      <c r="B231" s="2" t="s">
        <v>461</v>
      </c>
      <c r="C231" s="3">
        <v>8000</v>
      </c>
      <c r="D231" s="3">
        <v>5302</v>
      </c>
      <c r="E231" s="3">
        <v>7655</v>
      </c>
      <c r="F231" s="3">
        <v>7425</v>
      </c>
      <c r="G231" s="3">
        <v>7362</v>
      </c>
      <c r="H231" s="3">
        <v>8496</v>
      </c>
      <c r="I231" s="3">
        <v>10846</v>
      </c>
      <c r="J231" s="3">
        <v>11475</v>
      </c>
    </row>
    <row r="232" spans="1:10" x14ac:dyDescent="0.25">
      <c r="A232" s="1" t="s">
        <v>462</v>
      </c>
      <c r="B232" s="2" t="s">
        <v>463</v>
      </c>
      <c r="C232" s="3">
        <v>161</v>
      </c>
      <c r="D232" s="3">
        <v>119</v>
      </c>
      <c r="E232" s="3">
        <v>138</v>
      </c>
      <c r="F232" s="3">
        <v>131</v>
      </c>
      <c r="G232" s="3">
        <v>134</v>
      </c>
      <c r="H232" s="3">
        <v>137</v>
      </c>
      <c r="I232" s="3">
        <v>174</v>
      </c>
      <c r="J232" s="3">
        <v>157</v>
      </c>
    </row>
    <row r="233" spans="1:10" x14ac:dyDescent="0.25">
      <c r="A233" s="1" t="s">
        <v>464</v>
      </c>
      <c r="B233" s="2" t="s">
        <v>465</v>
      </c>
      <c r="C233" s="3">
        <v>14</v>
      </c>
      <c r="D233" s="3">
        <v>9</v>
      </c>
      <c r="E233" s="3">
        <v>20</v>
      </c>
      <c r="F233" s="3">
        <v>11</v>
      </c>
      <c r="G233" s="3">
        <v>12</v>
      </c>
      <c r="H233" s="3">
        <v>11</v>
      </c>
      <c r="I233" s="3">
        <v>13</v>
      </c>
      <c r="J233" s="3">
        <v>15</v>
      </c>
    </row>
    <row r="234" spans="1:10" x14ac:dyDescent="0.25">
      <c r="A234" s="1" t="s">
        <v>466</v>
      </c>
      <c r="B234" s="2" t="s">
        <v>467</v>
      </c>
      <c r="C234" s="3">
        <v>3</v>
      </c>
      <c r="D234" s="3">
        <v>5</v>
      </c>
      <c r="E234" s="3">
        <v>6</v>
      </c>
      <c r="F234" s="3">
        <v>3</v>
      </c>
      <c r="G234" s="3">
        <v>3</v>
      </c>
      <c r="H234" s="3">
        <v>7</v>
      </c>
      <c r="I234" s="3">
        <v>15</v>
      </c>
      <c r="J234" s="3">
        <v>6</v>
      </c>
    </row>
    <row r="235" spans="1:10" x14ac:dyDescent="0.25">
      <c r="A235" s="1" t="s">
        <v>468</v>
      </c>
      <c r="B235" s="2" t="s">
        <v>469</v>
      </c>
      <c r="C235" s="3">
        <v>15</v>
      </c>
      <c r="D235" s="3">
        <v>12</v>
      </c>
      <c r="E235" s="3">
        <v>16</v>
      </c>
      <c r="F235" s="3">
        <v>15</v>
      </c>
      <c r="G235" s="3">
        <v>11</v>
      </c>
      <c r="H235" s="3">
        <v>18</v>
      </c>
      <c r="I235" s="3">
        <v>22</v>
      </c>
      <c r="J235" s="3">
        <v>8</v>
      </c>
    </row>
    <row r="236" spans="1:10" x14ac:dyDescent="0.25">
      <c r="A236" s="1" t="s">
        <v>470</v>
      </c>
      <c r="B236" s="2" t="s">
        <v>471</v>
      </c>
      <c r="C236" s="3">
        <v>19</v>
      </c>
      <c r="D236" s="3">
        <v>10</v>
      </c>
      <c r="E236" s="3">
        <v>13</v>
      </c>
      <c r="F236" s="3">
        <v>8</v>
      </c>
      <c r="G236" s="3">
        <v>14</v>
      </c>
      <c r="H236" s="3">
        <v>18</v>
      </c>
      <c r="I236" s="3">
        <v>14</v>
      </c>
      <c r="J236" s="3">
        <v>23</v>
      </c>
    </row>
    <row r="237" spans="1:10" x14ac:dyDescent="0.25">
      <c r="A237" s="1" t="s">
        <v>472</v>
      </c>
      <c r="B237" s="2" t="s">
        <v>473</v>
      </c>
      <c r="C237" s="3">
        <v>54</v>
      </c>
      <c r="D237" s="3">
        <v>32</v>
      </c>
      <c r="E237" s="3">
        <v>56</v>
      </c>
      <c r="F237" s="3">
        <v>44</v>
      </c>
      <c r="G237" s="3">
        <v>62</v>
      </c>
      <c r="H237" s="3">
        <v>47</v>
      </c>
      <c r="I237" s="3">
        <v>63</v>
      </c>
      <c r="J237" s="3">
        <v>62</v>
      </c>
    </row>
    <row r="238" spans="1:10" x14ac:dyDescent="0.25">
      <c r="A238" s="1" t="s">
        <v>474</v>
      </c>
      <c r="B238" s="2" t="s">
        <v>475</v>
      </c>
      <c r="C238" s="3">
        <v>316</v>
      </c>
      <c r="D238" s="3">
        <v>237</v>
      </c>
      <c r="E238" s="3">
        <v>335</v>
      </c>
      <c r="F238" s="3">
        <v>300</v>
      </c>
      <c r="G238" s="3">
        <v>331</v>
      </c>
      <c r="H238" s="3">
        <v>339</v>
      </c>
      <c r="I238" s="3">
        <v>517</v>
      </c>
      <c r="J238" s="3">
        <v>387</v>
      </c>
    </row>
    <row r="239" spans="1:10" x14ac:dyDescent="0.25">
      <c r="A239" s="1" t="s">
        <v>476</v>
      </c>
      <c r="B239" s="2" t="s">
        <v>477</v>
      </c>
      <c r="C239" s="3">
        <v>4024</v>
      </c>
      <c r="D239" s="3">
        <v>3452</v>
      </c>
      <c r="E239" s="3">
        <v>4478</v>
      </c>
      <c r="F239" s="3">
        <v>3629</v>
      </c>
      <c r="G239" s="3">
        <v>3597</v>
      </c>
      <c r="H239" s="3">
        <v>4722</v>
      </c>
      <c r="I239" s="3">
        <v>7248</v>
      </c>
      <c r="J239" s="3">
        <v>5920</v>
      </c>
    </row>
    <row r="240" spans="1:10" x14ac:dyDescent="0.25">
      <c r="A240" s="1" t="s">
        <v>478</v>
      </c>
      <c r="B240" s="2" t="s">
        <v>479</v>
      </c>
      <c r="C240" s="3">
        <v>644</v>
      </c>
      <c r="D240" s="3">
        <v>420</v>
      </c>
      <c r="E240" s="3">
        <v>732</v>
      </c>
      <c r="F240" s="3">
        <v>596</v>
      </c>
      <c r="G240" s="3">
        <v>528</v>
      </c>
      <c r="H240" s="3">
        <v>710</v>
      </c>
      <c r="I240" s="3">
        <v>1090</v>
      </c>
      <c r="J240" s="3">
        <v>911</v>
      </c>
    </row>
    <row r="241" spans="1:10" x14ac:dyDescent="0.25">
      <c r="A241" s="17" t="s">
        <v>480</v>
      </c>
      <c r="B241" s="18" t="s">
        <v>481</v>
      </c>
      <c r="C241" s="19">
        <v>1025</v>
      </c>
      <c r="D241" s="19">
        <v>618</v>
      </c>
      <c r="E241" s="19">
        <v>1091</v>
      </c>
      <c r="F241" s="19">
        <v>964</v>
      </c>
      <c r="G241" s="19">
        <v>935</v>
      </c>
      <c r="H241" s="19">
        <v>1188</v>
      </c>
      <c r="I241" s="19">
        <v>1724</v>
      </c>
      <c r="J241" s="19">
        <v>1541</v>
      </c>
    </row>
  </sheetData>
  <pageMargins left="0.5" right="0.5" top="1" bottom="1" header="0.5" footer="0.5"/>
  <pageSetup orientation="landscape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768A-B928-4EDB-ACED-4175D11C89C2}">
  <dimension ref="A1:V241"/>
  <sheetViews>
    <sheetView tabSelected="1" zoomScaleNormal="100" workbookViewId="0">
      <selection activeCell="A5" sqref="A5:XFD5"/>
    </sheetView>
  </sheetViews>
  <sheetFormatPr defaultRowHeight="13.8" x14ac:dyDescent="0.25"/>
  <cols>
    <col min="1" max="16384" width="8.88671875" style="27"/>
  </cols>
  <sheetData>
    <row r="1" spans="1:22" x14ac:dyDescent="0.25">
      <c r="A1" s="26" t="s">
        <v>0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  <c r="J1" s="26" t="s">
        <v>489</v>
      </c>
      <c r="K1" s="26" t="s">
        <v>504</v>
      </c>
      <c r="L1" s="26" t="s">
        <v>488</v>
      </c>
      <c r="M1" s="26" t="s">
        <v>490</v>
      </c>
      <c r="N1" s="26" t="s">
        <v>491</v>
      </c>
      <c r="O1" s="26" t="s">
        <v>487</v>
      </c>
      <c r="P1" s="26" t="s">
        <v>492</v>
      </c>
      <c r="Q1" s="26" t="s">
        <v>493</v>
      </c>
      <c r="R1" s="26" t="s">
        <v>486</v>
      </c>
      <c r="S1" s="26" t="s">
        <v>494</v>
      </c>
      <c r="T1" s="26" t="s">
        <v>495</v>
      </c>
      <c r="U1" s="26" t="s">
        <v>503</v>
      </c>
      <c r="V1" s="26" t="s">
        <v>496</v>
      </c>
    </row>
    <row r="2" spans="1:22" x14ac:dyDescent="0.25">
      <c r="A2" s="27" t="s">
        <v>10</v>
      </c>
      <c r="B2" s="27">
        <v>27</v>
      </c>
      <c r="C2" s="27">
        <v>19</v>
      </c>
      <c r="D2" s="27">
        <v>12</v>
      </c>
      <c r="E2" s="27">
        <v>12</v>
      </c>
      <c r="F2" s="27">
        <v>23</v>
      </c>
      <c r="G2" s="27">
        <v>18</v>
      </c>
      <c r="H2" s="27">
        <v>22</v>
      </c>
      <c r="I2" s="27">
        <v>30</v>
      </c>
      <c r="J2" s="27">
        <v>20.5</v>
      </c>
      <c r="K2" s="27">
        <v>2.5</v>
      </c>
      <c r="L2" s="28">
        <v>1.121951219512195</v>
      </c>
      <c r="M2" s="28">
        <v>0.23831323209961949</v>
      </c>
      <c r="N2" s="28">
        <v>0.21240961991487831</v>
      </c>
      <c r="O2" s="28">
        <v>0.58536585365853655</v>
      </c>
      <c r="P2" s="28">
        <v>7.138607971445568E-2</v>
      </c>
      <c r="Q2" s="28">
        <v>0.12195121951219511</v>
      </c>
      <c r="R2" s="28">
        <v>1.2682926829268291</v>
      </c>
      <c r="S2" s="28">
        <v>0.2489886243625464</v>
      </c>
      <c r="T2" s="28">
        <v>0.19631795382431541</v>
      </c>
      <c r="U2" s="28">
        <v>0.53067879325138878</v>
      </c>
      <c r="V2" s="27" t="s">
        <v>498</v>
      </c>
    </row>
    <row r="3" spans="1:22" x14ac:dyDescent="0.25">
      <c r="A3" s="27" t="s">
        <v>12</v>
      </c>
      <c r="B3" s="27">
        <v>676</v>
      </c>
      <c r="C3" s="27">
        <v>390</v>
      </c>
      <c r="D3" s="27">
        <v>569</v>
      </c>
      <c r="E3" s="27">
        <v>590</v>
      </c>
      <c r="F3" s="27">
        <v>501</v>
      </c>
      <c r="G3" s="27">
        <v>665</v>
      </c>
      <c r="H3" s="27">
        <v>843</v>
      </c>
      <c r="I3" s="27">
        <v>936</v>
      </c>
      <c r="J3" s="27">
        <v>583</v>
      </c>
      <c r="K3" s="27">
        <v>82</v>
      </c>
      <c r="L3" s="28">
        <v>0.91423670668953683</v>
      </c>
      <c r="M3" s="28">
        <v>0.27694566324321351</v>
      </c>
      <c r="N3" s="28">
        <v>0.30292555660561632</v>
      </c>
      <c r="O3" s="28">
        <v>0.99399656946826753</v>
      </c>
      <c r="P3" s="28">
        <v>0.14096269667766101</v>
      </c>
      <c r="Q3" s="28">
        <v>0.1418140675808047</v>
      </c>
      <c r="R3" s="28">
        <v>1.5257289879931391</v>
      </c>
      <c r="S3" s="28">
        <v>0.2289395256770865</v>
      </c>
      <c r="T3" s="28">
        <v>0.150052550275145</v>
      </c>
      <c r="U3" s="28">
        <v>0.59479217446156596</v>
      </c>
      <c r="V3" s="27" t="s">
        <v>499</v>
      </c>
    </row>
    <row r="4" spans="1:22" x14ac:dyDescent="0.25">
      <c r="A4" s="27" t="s">
        <v>12</v>
      </c>
      <c r="B4" s="27">
        <v>424</v>
      </c>
      <c r="C4" s="27">
        <v>397</v>
      </c>
      <c r="D4" s="27">
        <v>387</v>
      </c>
      <c r="E4" s="27">
        <v>451</v>
      </c>
      <c r="F4" s="27">
        <v>349</v>
      </c>
      <c r="G4" s="27">
        <v>528</v>
      </c>
      <c r="H4" s="27">
        <v>701</v>
      </c>
      <c r="I4" s="27">
        <v>628</v>
      </c>
      <c r="J4" s="27">
        <v>438.5</v>
      </c>
      <c r="K4" s="27">
        <v>89.5</v>
      </c>
      <c r="L4" s="28">
        <v>0.93614595210946405</v>
      </c>
      <c r="M4" s="28">
        <v>0.19353636993743559</v>
      </c>
      <c r="N4" s="28">
        <v>0.20673738908054939</v>
      </c>
      <c r="O4" s="28">
        <v>0.95553021664766247</v>
      </c>
      <c r="P4" s="28">
        <v>0.2082344405986036</v>
      </c>
      <c r="Q4" s="28">
        <v>0.21792554224937399</v>
      </c>
      <c r="R4" s="28">
        <v>1.51539338654504</v>
      </c>
      <c r="S4" s="28">
        <v>0.32030395615108043</v>
      </c>
      <c r="T4" s="28">
        <v>0.21136686948419681</v>
      </c>
      <c r="U4" s="28">
        <v>0.63602980081412008</v>
      </c>
      <c r="V4" s="27" t="s">
        <v>499</v>
      </c>
    </row>
    <row r="5" spans="1:22" x14ac:dyDescent="0.25">
      <c r="A5" s="27" t="s">
        <v>14</v>
      </c>
      <c r="B5" s="27">
        <v>5</v>
      </c>
      <c r="C5" s="27">
        <v>3</v>
      </c>
      <c r="D5" s="27">
        <v>6</v>
      </c>
      <c r="E5" s="27">
        <v>4</v>
      </c>
      <c r="F5" s="27">
        <v>8</v>
      </c>
      <c r="G5" s="27">
        <v>2</v>
      </c>
      <c r="H5" s="27">
        <v>7</v>
      </c>
      <c r="I5" s="27">
        <v>12</v>
      </c>
      <c r="J5" s="27">
        <v>5</v>
      </c>
      <c r="K5" s="27">
        <v>3</v>
      </c>
      <c r="L5" s="28">
        <v>0.8</v>
      </c>
      <c r="M5" s="28">
        <v>0.52</v>
      </c>
      <c r="N5" s="28">
        <v>0.65</v>
      </c>
      <c r="O5" s="28">
        <v>1</v>
      </c>
      <c r="P5" s="28">
        <v>0.63245553203367588</v>
      </c>
      <c r="Q5" s="28">
        <v>0.63245553203367588</v>
      </c>
      <c r="R5" s="28">
        <v>1.9</v>
      </c>
      <c r="S5" s="28">
        <v>1.2448293055676349</v>
      </c>
      <c r="T5" s="28">
        <v>0.65517331871980777</v>
      </c>
      <c r="U5" s="28">
        <v>1.937628850753484</v>
      </c>
      <c r="V5" s="27" t="s">
        <v>500</v>
      </c>
    </row>
    <row r="6" spans="1:22" x14ac:dyDescent="0.25">
      <c r="A6" s="27" t="s">
        <v>16</v>
      </c>
      <c r="B6" s="27">
        <v>3249</v>
      </c>
      <c r="C6" s="27">
        <v>2098</v>
      </c>
      <c r="D6" s="27">
        <v>2658</v>
      </c>
      <c r="E6" s="27">
        <v>2814</v>
      </c>
      <c r="F6" s="27">
        <v>3084</v>
      </c>
      <c r="G6" s="27">
        <v>3089</v>
      </c>
      <c r="H6" s="27">
        <v>3225</v>
      </c>
      <c r="I6" s="27">
        <v>4528</v>
      </c>
      <c r="J6" s="27">
        <v>3086.5</v>
      </c>
      <c r="K6" s="27">
        <v>2.5</v>
      </c>
      <c r="L6" s="28">
        <v>0.86619147902154547</v>
      </c>
      <c r="M6" s="28">
        <v>0.18645847208595581</v>
      </c>
      <c r="N6" s="28">
        <v>0.21526241783927541</v>
      </c>
      <c r="O6" s="28">
        <v>0.88644095253523414</v>
      </c>
      <c r="P6" s="28">
        <v>2.5281540619574171E-2</v>
      </c>
      <c r="Q6" s="28">
        <v>2.8520275994998422E-2</v>
      </c>
      <c r="R6" s="28">
        <v>1.255953345213024</v>
      </c>
      <c r="S6" s="28">
        <v>0.21108296330460599</v>
      </c>
      <c r="T6" s="28">
        <v>0.168065927057827</v>
      </c>
      <c r="U6" s="28">
        <v>0.41184862089210078</v>
      </c>
      <c r="V6" s="27" t="s">
        <v>501</v>
      </c>
    </row>
    <row r="7" spans="1:22" x14ac:dyDescent="0.25">
      <c r="A7" s="27" t="s">
        <v>18</v>
      </c>
      <c r="B7" s="27">
        <v>24</v>
      </c>
      <c r="C7" s="27">
        <v>23</v>
      </c>
      <c r="D7" s="27">
        <v>23</v>
      </c>
      <c r="E7" s="27">
        <v>19</v>
      </c>
      <c r="F7" s="27">
        <v>17</v>
      </c>
      <c r="G7" s="27">
        <v>30</v>
      </c>
      <c r="H7" s="27">
        <v>26</v>
      </c>
      <c r="I7" s="27">
        <v>34</v>
      </c>
      <c r="J7" s="27">
        <v>23.5</v>
      </c>
      <c r="K7" s="27">
        <v>6.5</v>
      </c>
      <c r="L7" s="28">
        <v>1</v>
      </c>
      <c r="M7" s="28">
        <v>0.2774128683064957</v>
      </c>
      <c r="N7" s="28">
        <v>0.2774128683064957</v>
      </c>
      <c r="O7" s="28">
        <v>0.8936170212765957</v>
      </c>
      <c r="P7" s="28">
        <v>0.2614123835769937</v>
      </c>
      <c r="Q7" s="28">
        <v>0.29253290543139771</v>
      </c>
      <c r="R7" s="28">
        <v>1.2765957446808509</v>
      </c>
      <c r="S7" s="28">
        <v>0.39198554443925859</v>
      </c>
      <c r="T7" s="28">
        <v>0.30705534314408589</v>
      </c>
      <c r="U7" s="28">
        <v>0.87700111688197935</v>
      </c>
      <c r="V7" s="27" t="s">
        <v>500</v>
      </c>
    </row>
    <row r="8" spans="1:22" x14ac:dyDescent="0.25">
      <c r="A8" s="27" t="s">
        <v>20</v>
      </c>
      <c r="B8" s="27">
        <v>18</v>
      </c>
      <c r="C8" s="27">
        <v>17</v>
      </c>
      <c r="D8" s="27">
        <v>17</v>
      </c>
      <c r="E8" s="27">
        <v>18</v>
      </c>
      <c r="F8" s="27">
        <v>10</v>
      </c>
      <c r="G8" s="27">
        <v>16</v>
      </c>
      <c r="H8" s="27">
        <v>20</v>
      </c>
      <c r="I8" s="27">
        <v>23</v>
      </c>
      <c r="J8" s="27">
        <v>13</v>
      </c>
      <c r="K8" s="27">
        <v>3</v>
      </c>
      <c r="L8" s="28">
        <v>1.346153846153846</v>
      </c>
      <c r="M8" s="28">
        <v>0.3130227849395637</v>
      </c>
      <c r="N8" s="28">
        <v>0.2325312116693902</v>
      </c>
      <c r="O8" s="28">
        <v>1.346153846153846</v>
      </c>
      <c r="P8" s="28">
        <v>0.3130227849395637</v>
      </c>
      <c r="Q8" s="28">
        <v>0.2325312116693902</v>
      </c>
      <c r="R8" s="28">
        <v>1.653846153846154</v>
      </c>
      <c r="S8" s="28">
        <v>0.39871735109851247</v>
      </c>
      <c r="T8" s="28">
        <v>0.24108490996654239</v>
      </c>
      <c r="U8" s="28">
        <v>0.70614733330532276</v>
      </c>
      <c r="V8" s="27" t="s">
        <v>500</v>
      </c>
    </row>
    <row r="9" spans="1:22" x14ac:dyDescent="0.25">
      <c r="A9" s="27" t="s">
        <v>22</v>
      </c>
      <c r="B9" s="27">
        <v>727</v>
      </c>
      <c r="C9" s="27">
        <v>363</v>
      </c>
      <c r="D9" s="27">
        <v>791</v>
      </c>
      <c r="E9" s="27">
        <v>593</v>
      </c>
      <c r="F9" s="27">
        <v>597</v>
      </c>
      <c r="G9" s="27">
        <v>768</v>
      </c>
      <c r="H9" s="27">
        <v>1090</v>
      </c>
      <c r="I9" s="27">
        <v>1182</v>
      </c>
      <c r="J9" s="27">
        <v>682.5</v>
      </c>
      <c r="K9" s="27">
        <v>85.5</v>
      </c>
      <c r="L9" s="28">
        <v>0.79853479853479858</v>
      </c>
      <c r="M9" s="28">
        <v>0.28481284719144001</v>
      </c>
      <c r="N9" s="28">
        <v>0.35666929946450959</v>
      </c>
      <c r="O9" s="28">
        <v>1.0139194139194141</v>
      </c>
      <c r="P9" s="28">
        <v>0.19280723621726681</v>
      </c>
      <c r="Q9" s="28">
        <v>0.19016031606688519</v>
      </c>
      <c r="R9" s="28">
        <v>1.664468864468865</v>
      </c>
      <c r="S9" s="28">
        <v>0.21913816039957851</v>
      </c>
      <c r="T9" s="28">
        <v>0.1316565092189369</v>
      </c>
      <c r="U9" s="28">
        <v>0.67848612475033176</v>
      </c>
      <c r="V9" s="27" t="s">
        <v>500</v>
      </c>
    </row>
    <row r="10" spans="1:22" x14ac:dyDescent="0.25">
      <c r="A10" s="27" t="s">
        <v>24</v>
      </c>
      <c r="B10" s="27">
        <v>9</v>
      </c>
      <c r="C10" s="27">
        <v>7</v>
      </c>
      <c r="D10" s="27">
        <v>10</v>
      </c>
      <c r="E10" s="27">
        <v>15</v>
      </c>
      <c r="F10" s="27">
        <v>17</v>
      </c>
      <c r="G10" s="27">
        <v>14</v>
      </c>
      <c r="H10" s="27">
        <v>18</v>
      </c>
      <c r="I10" s="27">
        <v>20</v>
      </c>
      <c r="J10" s="27">
        <v>15.5</v>
      </c>
      <c r="K10" s="27">
        <v>1.5</v>
      </c>
      <c r="L10" s="28">
        <v>0.5161290322580645</v>
      </c>
      <c r="M10" s="28">
        <v>8.1591241556348212E-2</v>
      </c>
      <c r="N10" s="28">
        <v>0.15808303051542469</v>
      </c>
      <c r="O10" s="28">
        <v>0.80645161290322576</v>
      </c>
      <c r="P10" s="28">
        <v>0.17917976438837219</v>
      </c>
      <c r="Q10" s="28">
        <v>0.22218290784158151</v>
      </c>
      <c r="R10" s="28">
        <v>1.225806451612903</v>
      </c>
      <c r="S10" s="28">
        <v>0.13503540643087061</v>
      </c>
      <c r="T10" s="28">
        <v>0.1101604631409734</v>
      </c>
      <c r="U10" s="28">
        <v>0.49042640149797961</v>
      </c>
      <c r="V10" s="27" t="s">
        <v>498</v>
      </c>
    </row>
    <row r="11" spans="1:22" x14ac:dyDescent="0.25">
      <c r="A11" s="27" t="s">
        <v>26</v>
      </c>
      <c r="B11" s="27">
        <v>29</v>
      </c>
      <c r="C11" s="27">
        <v>24</v>
      </c>
      <c r="D11" s="27">
        <v>36</v>
      </c>
      <c r="E11" s="27">
        <v>24</v>
      </c>
      <c r="F11" s="27">
        <v>29</v>
      </c>
      <c r="G11" s="27">
        <v>30</v>
      </c>
      <c r="H11" s="27">
        <v>47</v>
      </c>
      <c r="I11" s="27">
        <v>35</v>
      </c>
      <c r="J11" s="27">
        <v>29.5</v>
      </c>
      <c r="K11" s="27">
        <v>0.5</v>
      </c>
      <c r="L11" s="28">
        <v>0.89830508474576276</v>
      </c>
      <c r="M11" s="28">
        <v>8.610261581197122E-2</v>
      </c>
      <c r="N11" s="28">
        <v>9.5850081752949082E-2</v>
      </c>
      <c r="O11" s="28">
        <v>1.0169491525423731</v>
      </c>
      <c r="P11" s="28">
        <v>0.2041188809158857</v>
      </c>
      <c r="Q11" s="28">
        <v>0.20071689956728761</v>
      </c>
      <c r="R11" s="28">
        <v>1.3898305084745759</v>
      </c>
      <c r="S11" s="28">
        <v>0.20474943090936659</v>
      </c>
      <c r="T11" s="28">
        <v>0.14731971248356859</v>
      </c>
      <c r="U11" s="28">
        <v>0.44388669380380541</v>
      </c>
      <c r="V11" s="27" t="s">
        <v>501</v>
      </c>
    </row>
    <row r="12" spans="1:22" x14ac:dyDescent="0.25">
      <c r="A12" s="27" t="s">
        <v>28</v>
      </c>
      <c r="B12" s="27">
        <v>23</v>
      </c>
      <c r="C12" s="27">
        <v>18</v>
      </c>
      <c r="D12" s="27">
        <v>29</v>
      </c>
      <c r="E12" s="27">
        <v>35</v>
      </c>
      <c r="F12" s="27">
        <v>31</v>
      </c>
      <c r="G12" s="27">
        <v>36</v>
      </c>
      <c r="H12" s="27">
        <v>54</v>
      </c>
      <c r="I12" s="27">
        <v>63</v>
      </c>
      <c r="J12" s="27">
        <v>33.5</v>
      </c>
      <c r="K12" s="27">
        <v>2.5</v>
      </c>
      <c r="L12" s="28">
        <v>0.61194029850746268</v>
      </c>
      <c r="M12" s="28">
        <v>8.7490919521744162E-2</v>
      </c>
      <c r="N12" s="28">
        <v>0.1429729660477283</v>
      </c>
      <c r="O12" s="28">
        <v>0.95522388059701491</v>
      </c>
      <c r="P12" s="28">
        <v>0.1144605024786326</v>
      </c>
      <c r="Q12" s="28">
        <v>0.1198258385323185</v>
      </c>
      <c r="R12" s="28">
        <v>1.7462686567164181</v>
      </c>
      <c r="S12" s="28">
        <v>0.1871551067427662</v>
      </c>
      <c r="T12" s="28">
        <v>0.10717429189543019</v>
      </c>
      <c r="U12" s="28">
        <v>0.36997309647547699</v>
      </c>
      <c r="V12" s="27" t="s">
        <v>501</v>
      </c>
    </row>
    <row r="13" spans="1:22" x14ac:dyDescent="0.25">
      <c r="A13" s="27" t="s">
        <v>30</v>
      </c>
      <c r="B13" s="27">
        <v>239</v>
      </c>
      <c r="C13" s="27">
        <v>219</v>
      </c>
      <c r="D13" s="27">
        <v>200</v>
      </c>
      <c r="E13" s="27">
        <v>213</v>
      </c>
      <c r="F13" s="27">
        <v>243</v>
      </c>
      <c r="G13" s="27">
        <v>247</v>
      </c>
      <c r="H13" s="27">
        <v>266</v>
      </c>
      <c r="I13" s="27">
        <v>379</v>
      </c>
      <c r="J13" s="27">
        <v>245</v>
      </c>
      <c r="K13" s="27">
        <v>2</v>
      </c>
      <c r="L13" s="28">
        <v>0.9346938775510204</v>
      </c>
      <c r="M13" s="28">
        <v>4.1523388145487443E-2</v>
      </c>
      <c r="N13" s="28">
        <v>4.4424585570499657E-2</v>
      </c>
      <c r="O13" s="28">
        <v>0.84285714285714286</v>
      </c>
      <c r="P13" s="28">
        <v>2.7408287158551481E-2</v>
      </c>
      <c r="Q13" s="28">
        <v>3.2518306798281417E-2</v>
      </c>
      <c r="R13" s="28">
        <v>1.3163265306122449</v>
      </c>
      <c r="S13" s="28">
        <v>0.23086245635648159</v>
      </c>
      <c r="T13" s="28">
        <v>0.175383881573141</v>
      </c>
      <c r="U13" s="28">
        <v>0.2523267739419221</v>
      </c>
      <c r="V13" s="27" t="s">
        <v>502</v>
      </c>
    </row>
    <row r="14" spans="1:22" x14ac:dyDescent="0.25">
      <c r="A14" s="27" t="s">
        <v>32</v>
      </c>
      <c r="B14" s="27">
        <v>190</v>
      </c>
      <c r="C14" s="27">
        <v>201</v>
      </c>
      <c r="D14" s="27">
        <v>151</v>
      </c>
      <c r="E14" s="27">
        <v>152</v>
      </c>
      <c r="F14" s="27">
        <v>160</v>
      </c>
      <c r="G14" s="27">
        <v>159</v>
      </c>
      <c r="H14" s="27">
        <v>186</v>
      </c>
      <c r="I14" s="27">
        <v>289</v>
      </c>
      <c r="J14" s="27">
        <v>159.5</v>
      </c>
      <c r="K14" s="27">
        <v>0.5</v>
      </c>
      <c r="L14" s="28">
        <v>1.2257053291536051</v>
      </c>
      <c r="M14" s="28">
        <v>3.4696169695319051E-2</v>
      </c>
      <c r="N14" s="28">
        <v>2.830710519899431E-2</v>
      </c>
      <c r="O14" s="28">
        <v>0.94984326018808773</v>
      </c>
      <c r="P14" s="28">
        <v>4.3235218577857551E-3</v>
      </c>
      <c r="Q14" s="28">
        <v>4.5518266423553002E-3</v>
      </c>
      <c r="R14" s="28">
        <v>1.4890282131661441</v>
      </c>
      <c r="S14" s="28">
        <v>0.32291775099958492</v>
      </c>
      <c r="T14" s="28">
        <v>0.2168647633028791</v>
      </c>
      <c r="U14" s="28">
        <v>0.24972369514422871</v>
      </c>
      <c r="V14" s="27" t="s">
        <v>502</v>
      </c>
    </row>
    <row r="15" spans="1:22" x14ac:dyDescent="0.25">
      <c r="A15" s="27" t="s">
        <v>34</v>
      </c>
      <c r="B15" s="27">
        <v>20</v>
      </c>
      <c r="C15" s="27">
        <v>14</v>
      </c>
      <c r="D15" s="27">
        <v>16</v>
      </c>
      <c r="E15" s="27">
        <v>28</v>
      </c>
      <c r="F15" s="27">
        <v>17</v>
      </c>
      <c r="G15" s="27">
        <v>28</v>
      </c>
      <c r="H15" s="27">
        <v>36</v>
      </c>
      <c r="I15" s="27">
        <v>37</v>
      </c>
      <c r="J15" s="27">
        <v>22.5</v>
      </c>
      <c r="K15" s="27">
        <v>5.5</v>
      </c>
      <c r="L15" s="28">
        <v>0.75555555555555554</v>
      </c>
      <c r="M15" s="28">
        <v>0.22779085913789979</v>
      </c>
      <c r="N15" s="28">
        <v>0.3014879018001615</v>
      </c>
      <c r="O15" s="28">
        <v>0.97777777777777775</v>
      </c>
      <c r="P15" s="28">
        <v>0.35810335449154168</v>
      </c>
      <c r="Q15" s="28">
        <v>0.36624206709362223</v>
      </c>
      <c r="R15" s="28">
        <v>1.622222222222222</v>
      </c>
      <c r="S15" s="28">
        <v>0.39716538678450569</v>
      </c>
      <c r="T15" s="28">
        <v>0.24482797815483229</v>
      </c>
      <c r="U15" s="28">
        <v>0.91255794704861593</v>
      </c>
      <c r="V15" s="27" t="s">
        <v>500</v>
      </c>
    </row>
    <row r="16" spans="1:22" x14ac:dyDescent="0.25">
      <c r="A16" s="27" t="s">
        <v>36</v>
      </c>
      <c r="B16" s="27">
        <v>299</v>
      </c>
      <c r="C16" s="27">
        <v>181</v>
      </c>
      <c r="D16" s="27">
        <v>276</v>
      </c>
      <c r="E16" s="27">
        <v>257</v>
      </c>
      <c r="F16" s="27">
        <v>269</v>
      </c>
      <c r="G16" s="27">
        <v>289</v>
      </c>
      <c r="H16" s="27">
        <v>351</v>
      </c>
      <c r="I16" s="27">
        <v>373</v>
      </c>
      <c r="J16" s="27">
        <v>279</v>
      </c>
      <c r="K16" s="27">
        <v>10</v>
      </c>
      <c r="L16" s="28">
        <v>0.86021505376344087</v>
      </c>
      <c r="M16" s="28">
        <v>0.2137053603366737</v>
      </c>
      <c r="N16" s="28">
        <v>0.2484324813913831</v>
      </c>
      <c r="O16" s="28">
        <v>0.95519713261648742</v>
      </c>
      <c r="P16" s="28">
        <v>4.8286122735696012E-2</v>
      </c>
      <c r="Q16" s="28">
        <v>5.0550950256132043E-2</v>
      </c>
      <c r="R16" s="28">
        <v>1.2974910394265231</v>
      </c>
      <c r="S16" s="28">
        <v>6.0968605825491511E-2</v>
      </c>
      <c r="T16" s="28">
        <v>4.6989616092022457E-2</v>
      </c>
      <c r="U16" s="28">
        <v>0.34597304773953758</v>
      </c>
      <c r="V16" s="27" t="s">
        <v>501</v>
      </c>
    </row>
    <row r="17" spans="1:22" x14ac:dyDescent="0.25">
      <c r="A17" s="27" t="s">
        <v>38</v>
      </c>
      <c r="B17" s="27">
        <v>371</v>
      </c>
      <c r="C17" s="27">
        <v>228</v>
      </c>
      <c r="D17" s="27">
        <v>448</v>
      </c>
      <c r="E17" s="27">
        <v>336</v>
      </c>
      <c r="F17" s="27">
        <v>377</v>
      </c>
      <c r="G17" s="27">
        <v>481</v>
      </c>
      <c r="H17" s="27">
        <v>634</v>
      </c>
      <c r="I17" s="27">
        <v>500</v>
      </c>
      <c r="J17" s="27">
        <v>429</v>
      </c>
      <c r="K17" s="27">
        <v>52</v>
      </c>
      <c r="L17" s="28">
        <v>0.69813519813519809</v>
      </c>
      <c r="M17" s="28">
        <v>0.1869190641082206</v>
      </c>
      <c r="N17" s="28">
        <v>0.26774049583447962</v>
      </c>
      <c r="O17" s="28">
        <v>0.91375291375291379</v>
      </c>
      <c r="P17" s="28">
        <v>0.17119287426282609</v>
      </c>
      <c r="Q17" s="28">
        <v>0.1873513853539602</v>
      </c>
      <c r="R17" s="28">
        <v>1.3216783216783221</v>
      </c>
      <c r="S17" s="28">
        <v>0.22373297484806959</v>
      </c>
      <c r="T17" s="28">
        <v>0.16927944657816901</v>
      </c>
      <c r="U17" s="28">
        <v>0.62437132776660875</v>
      </c>
      <c r="V17" s="27" t="s">
        <v>499</v>
      </c>
    </row>
    <row r="18" spans="1:22" x14ac:dyDescent="0.25">
      <c r="A18" s="27" t="s">
        <v>40</v>
      </c>
      <c r="B18" s="27">
        <v>3647</v>
      </c>
      <c r="C18" s="27">
        <v>1942</v>
      </c>
      <c r="D18" s="27">
        <v>3164</v>
      </c>
      <c r="E18" s="27">
        <v>3096</v>
      </c>
      <c r="F18" s="27">
        <v>3525</v>
      </c>
      <c r="G18" s="27">
        <v>3560</v>
      </c>
      <c r="H18" s="27">
        <v>3631</v>
      </c>
      <c r="I18" s="27">
        <v>4671</v>
      </c>
      <c r="J18" s="27">
        <v>3542.5</v>
      </c>
      <c r="K18" s="27">
        <v>17.5</v>
      </c>
      <c r="L18" s="28">
        <v>0.78884968242766407</v>
      </c>
      <c r="M18" s="28">
        <v>0.2406808091819391</v>
      </c>
      <c r="N18" s="28">
        <v>0.30510351280265491</v>
      </c>
      <c r="O18" s="28">
        <v>0.8835568101623148</v>
      </c>
      <c r="P18" s="28">
        <v>1.0543622599178589E-2</v>
      </c>
      <c r="Q18" s="28">
        <v>1.193315752638663E-2</v>
      </c>
      <c r="R18" s="28">
        <v>1.1717713479181371</v>
      </c>
      <c r="S18" s="28">
        <v>0.14690308143639541</v>
      </c>
      <c r="T18" s="28">
        <v>0.1253683849646906</v>
      </c>
      <c r="U18" s="28">
        <v>0.4424050552937322</v>
      </c>
      <c r="V18" s="27" t="s">
        <v>501</v>
      </c>
    </row>
    <row r="19" spans="1:22" x14ac:dyDescent="0.25">
      <c r="A19" s="27" t="s">
        <v>42</v>
      </c>
      <c r="B19" s="27">
        <v>129</v>
      </c>
      <c r="C19" s="27">
        <v>81</v>
      </c>
      <c r="D19" s="27">
        <v>126</v>
      </c>
      <c r="E19" s="27">
        <v>97</v>
      </c>
      <c r="F19" s="27">
        <v>100</v>
      </c>
      <c r="G19" s="27">
        <v>133</v>
      </c>
      <c r="H19" s="27">
        <v>190</v>
      </c>
      <c r="I19" s="27">
        <v>165</v>
      </c>
      <c r="J19" s="27">
        <v>116.5</v>
      </c>
      <c r="K19" s="27">
        <v>16.5</v>
      </c>
      <c r="L19" s="28">
        <v>0.90128755364806867</v>
      </c>
      <c r="M19" s="28">
        <v>0.24235119575375999</v>
      </c>
      <c r="N19" s="28">
        <v>0.26889442195536228</v>
      </c>
      <c r="O19" s="28">
        <v>0.9570815450643777</v>
      </c>
      <c r="P19" s="28">
        <v>0.1840260840049906</v>
      </c>
      <c r="Q19" s="28">
        <v>0.1922783747675462</v>
      </c>
      <c r="R19" s="28">
        <v>1.523605150214592</v>
      </c>
      <c r="S19" s="28">
        <v>0.2409929457081707</v>
      </c>
      <c r="T19" s="28">
        <v>0.158172834788743</v>
      </c>
      <c r="U19" s="28">
        <v>0.61934563151165156</v>
      </c>
      <c r="V19" s="27" t="s">
        <v>499</v>
      </c>
    </row>
    <row r="20" spans="1:22" x14ac:dyDescent="0.25">
      <c r="A20" s="27" t="s">
        <v>44</v>
      </c>
      <c r="B20" s="27">
        <v>189</v>
      </c>
      <c r="C20" s="27">
        <v>118</v>
      </c>
      <c r="D20" s="27">
        <v>217</v>
      </c>
      <c r="E20" s="27">
        <v>169</v>
      </c>
      <c r="F20" s="27">
        <v>149</v>
      </c>
      <c r="G20" s="27">
        <v>210</v>
      </c>
      <c r="H20" s="27">
        <v>353</v>
      </c>
      <c r="I20" s="27">
        <v>263</v>
      </c>
      <c r="J20" s="27">
        <v>179.5</v>
      </c>
      <c r="K20" s="27">
        <v>30.5</v>
      </c>
      <c r="L20" s="28">
        <v>0.85515320334261835</v>
      </c>
      <c r="M20" s="28">
        <v>0.2454119451983047</v>
      </c>
      <c r="N20" s="28">
        <v>0.28698009226772442</v>
      </c>
      <c r="O20" s="28">
        <v>1.075208913649025</v>
      </c>
      <c r="P20" s="28">
        <v>0.22639492544957349</v>
      </c>
      <c r="Q20" s="28">
        <v>0.2105590109751215</v>
      </c>
      <c r="R20" s="28">
        <v>1.7158774373259049</v>
      </c>
      <c r="S20" s="28">
        <v>0.38451715830160438</v>
      </c>
      <c r="T20" s="28">
        <v>0.2240936036205779</v>
      </c>
      <c r="U20" s="28">
        <v>0.72163270686342385</v>
      </c>
      <c r="V20" s="27" t="s">
        <v>500</v>
      </c>
    </row>
    <row r="21" spans="1:22" x14ac:dyDescent="0.25">
      <c r="A21" s="27" t="s">
        <v>46</v>
      </c>
      <c r="B21" s="27">
        <v>117</v>
      </c>
      <c r="C21" s="27">
        <v>78</v>
      </c>
      <c r="D21" s="27">
        <v>128</v>
      </c>
      <c r="E21" s="27">
        <v>109</v>
      </c>
      <c r="F21" s="27">
        <v>101</v>
      </c>
      <c r="G21" s="27">
        <v>133</v>
      </c>
      <c r="H21" s="27">
        <v>235</v>
      </c>
      <c r="I21" s="27">
        <v>168</v>
      </c>
      <c r="J21" s="27">
        <v>117</v>
      </c>
      <c r="K21" s="27">
        <v>16</v>
      </c>
      <c r="L21" s="28">
        <v>0.83333333333333337</v>
      </c>
      <c r="M21" s="28">
        <v>0.20190266306212989</v>
      </c>
      <c r="N21" s="28">
        <v>0.24228319567455589</v>
      </c>
      <c r="O21" s="28">
        <v>1.012820512820513</v>
      </c>
      <c r="P21" s="28">
        <v>0.1605509953750095</v>
      </c>
      <c r="Q21" s="28">
        <v>0.1585187042943132</v>
      </c>
      <c r="R21" s="28">
        <v>1.7222222222222221</v>
      </c>
      <c r="S21" s="28">
        <v>0.37074304916124051</v>
      </c>
      <c r="T21" s="28">
        <v>0.21527015757749449</v>
      </c>
      <c r="U21" s="28">
        <v>0.61607205754636352</v>
      </c>
      <c r="V21" s="27" t="s">
        <v>499</v>
      </c>
    </row>
    <row r="22" spans="1:22" x14ac:dyDescent="0.25">
      <c r="A22" s="27" t="s">
        <v>46</v>
      </c>
      <c r="B22" s="27">
        <v>195</v>
      </c>
      <c r="C22" s="27">
        <v>209</v>
      </c>
      <c r="D22" s="27">
        <v>194</v>
      </c>
      <c r="E22" s="27">
        <v>243</v>
      </c>
      <c r="F22" s="27">
        <v>179</v>
      </c>
      <c r="G22" s="27">
        <v>246</v>
      </c>
      <c r="H22" s="27">
        <v>388</v>
      </c>
      <c r="I22" s="27">
        <v>221</v>
      </c>
      <c r="J22" s="27">
        <v>212.5</v>
      </c>
      <c r="K22" s="27">
        <v>33.5</v>
      </c>
      <c r="L22" s="28">
        <v>0.95058823529411762</v>
      </c>
      <c r="M22" s="28">
        <v>0.15343524127360031</v>
      </c>
      <c r="N22" s="28">
        <v>0.16141083549821811</v>
      </c>
      <c r="O22" s="28">
        <v>1.0282352941176469</v>
      </c>
      <c r="P22" s="28">
        <v>0.19891853273979559</v>
      </c>
      <c r="Q22" s="28">
        <v>0.1934562389345838</v>
      </c>
      <c r="R22" s="28">
        <v>1.4329411764705879</v>
      </c>
      <c r="S22" s="28">
        <v>0.45324729361644028</v>
      </c>
      <c r="T22" s="28">
        <v>0.31630558257304953</v>
      </c>
      <c r="U22" s="28">
        <v>0.67117265700585138</v>
      </c>
      <c r="V22" s="27" t="s">
        <v>500</v>
      </c>
    </row>
    <row r="23" spans="1:22" x14ac:dyDescent="0.25">
      <c r="A23" s="27" t="s">
        <v>48</v>
      </c>
      <c r="B23" s="27">
        <v>120</v>
      </c>
      <c r="C23" s="27">
        <v>108</v>
      </c>
      <c r="D23" s="27">
        <v>137</v>
      </c>
      <c r="E23" s="27">
        <v>103</v>
      </c>
      <c r="F23" s="27">
        <v>110</v>
      </c>
      <c r="G23" s="27">
        <v>150</v>
      </c>
      <c r="H23" s="27">
        <v>240</v>
      </c>
      <c r="I23" s="27">
        <v>187</v>
      </c>
      <c r="J23" s="27">
        <v>130</v>
      </c>
      <c r="K23" s="27">
        <v>20</v>
      </c>
      <c r="L23" s="28">
        <v>0.87692307692307692</v>
      </c>
      <c r="M23" s="28">
        <v>0.1425875902581529</v>
      </c>
      <c r="N23" s="28">
        <v>0.16259988362771829</v>
      </c>
      <c r="O23" s="28">
        <v>0.92307692307692313</v>
      </c>
      <c r="P23" s="28">
        <v>0.19304909428115169</v>
      </c>
      <c r="Q23" s="28">
        <v>0.20913651880458101</v>
      </c>
      <c r="R23" s="28">
        <v>1.642307692307692</v>
      </c>
      <c r="S23" s="28">
        <v>0.32464088693893361</v>
      </c>
      <c r="T23" s="28">
        <v>0.19767360797218439</v>
      </c>
      <c r="U23" s="28">
        <v>0.56941001040448369</v>
      </c>
      <c r="V23" s="27" t="s">
        <v>499</v>
      </c>
    </row>
    <row r="24" spans="1:22" x14ac:dyDescent="0.25">
      <c r="A24" s="27" t="s">
        <v>50</v>
      </c>
      <c r="B24" s="27">
        <v>106</v>
      </c>
      <c r="C24" s="27">
        <v>69</v>
      </c>
      <c r="D24" s="27">
        <v>121</v>
      </c>
      <c r="E24" s="27">
        <v>71</v>
      </c>
      <c r="F24" s="27">
        <v>88</v>
      </c>
      <c r="G24" s="27">
        <v>128</v>
      </c>
      <c r="H24" s="27">
        <v>135</v>
      </c>
      <c r="I24" s="27">
        <v>132</v>
      </c>
      <c r="J24" s="27">
        <v>108</v>
      </c>
      <c r="K24" s="27">
        <v>20</v>
      </c>
      <c r="L24" s="28">
        <v>0.81018518518518523</v>
      </c>
      <c r="M24" s="28">
        <v>0.22771190211914691</v>
      </c>
      <c r="N24" s="28">
        <v>0.28106154775848979</v>
      </c>
      <c r="O24" s="28">
        <v>0.88888888888888884</v>
      </c>
      <c r="P24" s="28">
        <v>0.28404192782466098</v>
      </c>
      <c r="Q24" s="28">
        <v>0.31954716880274359</v>
      </c>
      <c r="R24" s="28">
        <v>1.2361111111111109</v>
      </c>
      <c r="S24" s="28">
        <v>0.22933042626431899</v>
      </c>
      <c r="T24" s="28">
        <v>0.18552573810147149</v>
      </c>
      <c r="U24" s="28">
        <v>0.78613445466270504</v>
      </c>
      <c r="V24" s="27" t="s">
        <v>500</v>
      </c>
    </row>
    <row r="25" spans="1:22" x14ac:dyDescent="0.25">
      <c r="A25" s="27" t="s">
        <v>52</v>
      </c>
      <c r="B25" s="27">
        <v>22</v>
      </c>
      <c r="C25" s="27">
        <v>16</v>
      </c>
      <c r="D25" s="27">
        <v>18</v>
      </c>
      <c r="E25" s="27">
        <v>18</v>
      </c>
      <c r="F25" s="27">
        <v>22</v>
      </c>
      <c r="G25" s="27">
        <v>16</v>
      </c>
      <c r="H25" s="27">
        <v>22</v>
      </c>
      <c r="I25" s="27">
        <v>20</v>
      </c>
      <c r="J25" s="27">
        <v>19</v>
      </c>
      <c r="K25" s="27">
        <v>3</v>
      </c>
      <c r="L25" s="28">
        <v>1</v>
      </c>
      <c r="M25" s="28">
        <v>0.22329687826943609</v>
      </c>
      <c r="N25" s="28">
        <v>0.22329687826943609</v>
      </c>
      <c r="O25" s="28">
        <v>0.94736842105263153</v>
      </c>
      <c r="P25" s="28">
        <v>0.149584487534626</v>
      </c>
      <c r="Q25" s="28">
        <v>0.15789473684210531</v>
      </c>
      <c r="R25" s="28">
        <v>1.1052631578947369</v>
      </c>
      <c r="S25" s="28">
        <v>0.18227904572146369</v>
      </c>
      <c r="T25" s="28">
        <v>0.1649191366051338</v>
      </c>
      <c r="U25" s="28">
        <v>0.54611075171667511</v>
      </c>
      <c r="V25" s="27" t="s">
        <v>498</v>
      </c>
    </row>
    <row r="26" spans="1:22" x14ac:dyDescent="0.25">
      <c r="A26" s="27" t="s">
        <v>54</v>
      </c>
      <c r="B26" s="27">
        <v>288</v>
      </c>
      <c r="C26" s="27">
        <v>166</v>
      </c>
      <c r="D26" s="27">
        <v>272</v>
      </c>
      <c r="E26" s="27">
        <v>224</v>
      </c>
      <c r="F26" s="27">
        <v>277</v>
      </c>
      <c r="G26" s="27">
        <v>337</v>
      </c>
      <c r="H26" s="27">
        <v>517</v>
      </c>
      <c r="I26" s="27">
        <v>399</v>
      </c>
      <c r="J26" s="27">
        <v>307</v>
      </c>
      <c r="K26" s="27">
        <v>30</v>
      </c>
      <c r="L26" s="28">
        <v>0.73941368078175895</v>
      </c>
      <c r="M26" s="28">
        <v>0.21142698280110159</v>
      </c>
      <c r="N26" s="28">
        <v>0.28593869480148981</v>
      </c>
      <c r="O26" s="28">
        <v>0.80781758957654726</v>
      </c>
      <c r="P26" s="28">
        <v>0.11109890807771521</v>
      </c>
      <c r="Q26" s="28">
        <v>0.1375296966929781</v>
      </c>
      <c r="R26" s="28">
        <v>1.49185667752443</v>
      </c>
      <c r="S26" s="28">
        <v>0.2412199519905518</v>
      </c>
      <c r="T26" s="28">
        <v>0.16169110319017341</v>
      </c>
      <c r="U26" s="28">
        <v>0.58515949468464123</v>
      </c>
      <c r="V26" s="27" t="s">
        <v>499</v>
      </c>
    </row>
    <row r="27" spans="1:22" x14ac:dyDescent="0.25">
      <c r="A27" s="27" t="s">
        <v>56</v>
      </c>
      <c r="B27" s="27">
        <v>1379</v>
      </c>
      <c r="C27" s="27">
        <v>982</v>
      </c>
      <c r="D27" s="27">
        <v>1282</v>
      </c>
      <c r="E27" s="27">
        <v>1193</v>
      </c>
      <c r="F27" s="27">
        <v>1117</v>
      </c>
      <c r="G27" s="27">
        <v>1460</v>
      </c>
      <c r="H27" s="27">
        <v>2100</v>
      </c>
      <c r="I27" s="27">
        <v>1685</v>
      </c>
      <c r="J27" s="27">
        <v>1288.5</v>
      </c>
      <c r="K27" s="27">
        <v>171.5</v>
      </c>
      <c r="L27" s="28">
        <v>0.91618160651920844</v>
      </c>
      <c r="M27" s="28">
        <v>0.19647740561288021</v>
      </c>
      <c r="N27" s="28">
        <v>0.2144524668633597</v>
      </c>
      <c r="O27" s="28">
        <v>0.96041909196740394</v>
      </c>
      <c r="P27" s="28">
        <v>0.1324154180847901</v>
      </c>
      <c r="Q27" s="28">
        <v>0.13787253834525409</v>
      </c>
      <c r="R27" s="28">
        <v>1.468762126503687</v>
      </c>
      <c r="S27" s="28">
        <v>0.25328122082020582</v>
      </c>
      <c r="T27" s="28">
        <v>0.17244536487547429</v>
      </c>
      <c r="U27" s="28">
        <v>0.52477037008408811</v>
      </c>
      <c r="V27" s="27" t="s">
        <v>498</v>
      </c>
    </row>
    <row r="28" spans="1:22" x14ac:dyDescent="0.25">
      <c r="A28" s="27" t="s">
        <v>58</v>
      </c>
      <c r="B28" s="27">
        <v>1194</v>
      </c>
      <c r="C28" s="27">
        <v>708</v>
      </c>
      <c r="D28" s="27">
        <v>1230</v>
      </c>
      <c r="E28" s="27">
        <v>1030</v>
      </c>
      <c r="F28" s="27">
        <v>1033</v>
      </c>
      <c r="G28" s="27">
        <v>1250</v>
      </c>
      <c r="H28" s="27">
        <v>1707</v>
      </c>
      <c r="I28" s="27">
        <v>1349</v>
      </c>
      <c r="J28" s="27">
        <v>1141.5</v>
      </c>
      <c r="K28" s="27">
        <v>108.5</v>
      </c>
      <c r="L28" s="28">
        <v>0.83311432325886992</v>
      </c>
      <c r="M28" s="28">
        <v>0.22712918432226609</v>
      </c>
      <c r="N28" s="28">
        <v>0.27262667077167912</v>
      </c>
      <c r="O28" s="28">
        <v>0.98992553657468241</v>
      </c>
      <c r="P28" s="28">
        <v>0.12856095565330469</v>
      </c>
      <c r="Q28" s="28">
        <v>0.12986931936128079</v>
      </c>
      <c r="R28" s="28">
        <v>1.338589575120456</v>
      </c>
      <c r="S28" s="28">
        <v>0.2019358914070932</v>
      </c>
      <c r="T28" s="28">
        <v>0.15085721206884611</v>
      </c>
      <c r="U28" s="28">
        <v>0.55335320220180595</v>
      </c>
      <c r="V28" s="27" t="s">
        <v>499</v>
      </c>
    </row>
    <row r="29" spans="1:22" x14ac:dyDescent="0.25">
      <c r="A29" s="27" t="s">
        <v>60</v>
      </c>
      <c r="B29" s="27">
        <v>3139</v>
      </c>
      <c r="C29" s="27">
        <v>2913</v>
      </c>
      <c r="D29" s="27">
        <v>2988</v>
      </c>
      <c r="E29" s="27">
        <v>2857</v>
      </c>
      <c r="F29" s="27">
        <v>2906</v>
      </c>
      <c r="G29" s="27">
        <v>3297</v>
      </c>
      <c r="H29" s="27">
        <v>4208</v>
      </c>
      <c r="I29" s="27">
        <v>4628</v>
      </c>
      <c r="J29" s="27">
        <v>3101.5</v>
      </c>
      <c r="K29" s="27">
        <v>195.5</v>
      </c>
      <c r="L29" s="28">
        <v>0.97565694019023053</v>
      </c>
      <c r="M29" s="28">
        <v>7.1481696124050323E-2</v>
      </c>
      <c r="N29" s="28">
        <v>7.3265195151600154E-2</v>
      </c>
      <c r="O29" s="28">
        <v>0.94228599064968566</v>
      </c>
      <c r="P29" s="28">
        <v>6.3038856403830071E-2</v>
      </c>
      <c r="Q29" s="28">
        <v>6.6899918951746434E-2</v>
      </c>
      <c r="R29" s="28">
        <v>1.424472029663066</v>
      </c>
      <c r="S29" s="28">
        <v>0.1124580400018548</v>
      </c>
      <c r="T29" s="28">
        <v>7.8947173170156801E-2</v>
      </c>
      <c r="U29" s="28">
        <v>0.2191122872735034</v>
      </c>
      <c r="V29" s="27" t="s">
        <v>502</v>
      </c>
    </row>
    <row r="30" spans="1:22" x14ac:dyDescent="0.25">
      <c r="A30" s="27" t="s">
        <v>62</v>
      </c>
      <c r="B30" s="27">
        <v>268</v>
      </c>
      <c r="C30" s="27">
        <v>184</v>
      </c>
      <c r="D30" s="27">
        <v>272</v>
      </c>
      <c r="E30" s="27">
        <v>248</v>
      </c>
      <c r="F30" s="27">
        <v>177</v>
      </c>
      <c r="G30" s="27">
        <v>278</v>
      </c>
      <c r="H30" s="27">
        <v>528</v>
      </c>
      <c r="I30" s="27">
        <v>459</v>
      </c>
      <c r="J30" s="27">
        <v>227.5</v>
      </c>
      <c r="K30" s="27">
        <v>50.5</v>
      </c>
      <c r="L30" s="28">
        <v>0.99340659340659343</v>
      </c>
      <c r="M30" s="28">
        <v>0.28759251441971628</v>
      </c>
      <c r="N30" s="28">
        <v>0.28950131429418352</v>
      </c>
      <c r="O30" s="28">
        <v>1.142857142857143</v>
      </c>
      <c r="P30" s="28">
        <v>0.25911477499396007</v>
      </c>
      <c r="Q30" s="28">
        <v>0.22672542811971511</v>
      </c>
      <c r="R30" s="28">
        <v>2.1692307692307691</v>
      </c>
      <c r="S30" s="28">
        <v>0.50483683586026074</v>
      </c>
      <c r="T30" s="28">
        <v>0.232726200928489</v>
      </c>
      <c r="U30" s="28">
        <v>0.7489529433423876</v>
      </c>
      <c r="V30" s="27" t="s">
        <v>500</v>
      </c>
    </row>
    <row r="31" spans="1:22" x14ac:dyDescent="0.25">
      <c r="A31" s="27" t="s">
        <v>64</v>
      </c>
      <c r="B31" s="27">
        <v>415</v>
      </c>
      <c r="C31" s="27">
        <v>334</v>
      </c>
      <c r="D31" s="27">
        <v>319</v>
      </c>
      <c r="E31" s="27">
        <v>358</v>
      </c>
      <c r="F31" s="27">
        <v>350</v>
      </c>
      <c r="G31" s="27">
        <v>361</v>
      </c>
      <c r="H31" s="27">
        <v>384</v>
      </c>
      <c r="I31" s="27">
        <v>516</v>
      </c>
      <c r="J31" s="27">
        <v>355.5</v>
      </c>
      <c r="K31" s="27">
        <v>5.5</v>
      </c>
      <c r="L31" s="28">
        <v>1.0534458509142051</v>
      </c>
      <c r="M31" s="28">
        <v>0.1150839490332857</v>
      </c>
      <c r="N31" s="28">
        <v>0.10924524400890009</v>
      </c>
      <c r="O31" s="28">
        <v>0.95218002812939517</v>
      </c>
      <c r="P31" s="28">
        <v>5.6796032968166751E-2</v>
      </c>
      <c r="Q31" s="28">
        <v>5.9648418671147063E-2</v>
      </c>
      <c r="R31" s="28">
        <v>1.2658227848101271</v>
      </c>
      <c r="S31" s="28">
        <v>0.18668404954604151</v>
      </c>
      <c r="T31" s="28">
        <v>0.14748039914137279</v>
      </c>
      <c r="U31" s="28">
        <v>0.31637406182141992</v>
      </c>
      <c r="V31" s="27" t="s">
        <v>501</v>
      </c>
    </row>
    <row r="32" spans="1:22" x14ac:dyDescent="0.25">
      <c r="A32" s="27" t="s">
        <v>66</v>
      </c>
      <c r="B32" s="27">
        <v>327</v>
      </c>
      <c r="C32" s="27">
        <v>207</v>
      </c>
      <c r="D32" s="27">
        <v>314</v>
      </c>
      <c r="E32" s="27">
        <v>296</v>
      </c>
      <c r="F32" s="27">
        <v>297</v>
      </c>
      <c r="G32" s="27">
        <v>333</v>
      </c>
      <c r="H32" s="27">
        <v>404</v>
      </c>
      <c r="I32" s="27">
        <v>531</v>
      </c>
      <c r="J32" s="27">
        <v>315</v>
      </c>
      <c r="K32" s="27">
        <v>18</v>
      </c>
      <c r="L32" s="28">
        <v>0.84761904761904761</v>
      </c>
      <c r="M32" s="28">
        <v>0.19653794699075169</v>
      </c>
      <c r="N32" s="28">
        <v>0.23187061161830261</v>
      </c>
      <c r="O32" s="28">
        <v>0.96825396825396826</v>
      </c>
      <c r="P32" s="28">
        <v>6.2270397777056459E-2</v>
      </c>
      <c r="Q32" s="28">
        <v>6.4312050163189458E-2</v>
      </c>
      <c r="R32" s="28">
        <v>1.484126984126984</v>
      </c>
      <c r="S32" s="28">
        <v>0.21870004771718499</v>
      </c>
      <c r="T32" s="28">
        <v>0.14735939044045621</v>
      </c>
      <c r="U32" s="28">
        <v>0.4435420522219482</v>
      </c>
      <c r="V32" s="27" t="s">
        <v>501</v>
      </c>
    </row>
    <row r="33" spans="1:22" x14ac:dyDescent="0.25">
      <c r="A33" s="27" t="s">
        <v>68</v>
      </c>
      <c r="B33" s="27">
        <v>15</v>
      </c>
      <c r="C33" s="27">
        <v>18</v>
      </c>
      <c r="D33" s="27">
        <v>16</v>
      </c>
      <c r="E33" s="27">
        <v>13</v>
      </c>
      <c r="F33" s="27">
        <v>7</v>
      </c>
      <c r="G33" s="27">
        <v>21</v>
      </c>
      <c r="H33" s="27">
        <v>22</v>
      </c>
      <c r="I33" s="27">
        <v>15</v>
      </c>
      <c r="J33" s="27">
        <v>14</v>
      </c>
      <c r="K33" s="27">
        <v>7</v>
      </c>
      <c r="L33" s="28">
        <v>1.178571428571429</v>
      </c>
      <c r="M33" s="28">
        <v>0.59894677968744359</v>
      </c>
      <c r="N33" s="28">
        <v>0.50819726761358852</v>
      </c>
      <c r="O33" s="28">
        <v>1.035714285714286</v>
      </c>
      <c r="P33" s="28">
        <v>0.52882474624860165</v>
      </c>
      <c r="Q33" s="28">
        <v>0.51058941017106363</v>
      </c>
      <c r="R33" s="28">
        <v>1.321428571428571</v>
      </c>
      <c r="S33" s="28">
        <v>0.70643001588758858</v>
      </c>
      <c r="T33" s="28">
        <v>0.53459568769871568</v>
      </c>
      <c r="U33" s="28">
        <v>1.5533823654833681</v>
      </c>
      <c r="V33" s="27" t="s">
        <v>500</v>
      </c>
    </row>
    <row r="34" spans="1:22" x14ac:dyDescent="0.25">
      <c r="A34" s="27" t="s">
        <v>70</v>
      </c>
      <c r="B34" s="27">
        <v>3026</v>
      </c>
      <c r="C34" s="27">
        <v>2179</v>
      </c>
      <c r="D34" s="27">
        <v>3099</v>
      </c>
      <c r="E34" s="27">
        <v>2697</v>
      </c>
      <c r="F34" s="27">
        <v>2922</v>
      </c>
      <c r="G34" s="27">
        <v>3405</v>
      </c>
      <c r="H34" s="27">
        <v>4924</v>
      </c>
      <c r="I34" s="27">
        <v>5014</v>
      </c>
      <c r="J34" s="27">
        <v>3163.5</v>
      </c>
      <c r="K34" s="27">
        <v>241.5</v>
      </c>
      <c r="L34" s="28">
        <v>0.82266477003319105</v>
      </c>
      <c r="M34" s="28">
        <v>0.14786965789530221</v>
      </c>
      <c r="N34" s="28">
        <v>0.17974473112460659</v>
      </c>
      <c r="O34" s="28">
        <v>0.91607396870554769</v>
      </c>
      <c r="P34" s="28">
        <v>9.4485717094184671E-2</v>
      </c>
      <c r="Q34" s="28">
        <v>0.1031420172627513</v>
      </c>
      <c r="R34" s="28">
        <v>1.570728623360202</v>
      </c>
      <c r="S34" s="28">
        <v>0.1207494263586547</v>
      </c>
      <c r="T34" s="28">
        <v>7.6874785728638401E-2</v>
      </c>
      <c r="U34" s="28">
        <v>0.35976153411599621</v>
      </c>
      <c r="V34" s="27" t="s">
        <v>501</v>
      </c>
    </row>
    <row r="35" spans="1:22" x14ac:dyDescent="0.25">
      <c r="A35" s="27" t="s">
        <v>72</v>
      </c>
      <c r="B35" s="27">
        <v>1306</v>
      </c>
      <c r="C35" s="27">
        <v>772</v>
      </c>
      <c r="D35" s="27">
        <v>1192</v>
      </c>
      <c r="E35" s="27">
        <v>1029</v>
      </c>
      <c r="F35" s="27">
        <v>986</v>
      </c>
      <c r="G35" s="27">
        <v>1247</v>
      </c>
      <c r="H35" s="27">
        <v>1858</v>
      </c>
      <c r="I35" s="27">
        <v>1585</v>
      </c>
      <c r="J35" s="27">
        <v>1116.5</v>
      </c>
      <c r="K35" s="27">
        <v>130.5</v>
      </c>
      <c r="L35" s="28">
        <v>0.93058665472458579</v>
      </c>
      <c r="M35" s="28">
        <v>0.26271449395795199</v>
      </c>
      <c r="N35" s="28">
        <v>0.28231061838696192</v>
      </c>
      <c r="O35" s="28">
        <v>0.99462606359158079</v>
      </c>
      <c r="P35" s="28">
        <v>0.1372721213640761</v>
      </c>
      <c r="Q35" s="28">
        <v>0.13801379874200001</v>
      </c>
      <c r="R35" s="28">
        <v>1.541871921182266</v>
      </c>
      <c r="S35" s="28">
        <v>0.21777419843694701</v>
      </c>
      <c r="T35" s="28">
        <v>0.1412401350884992</v>
      </c>
      <c r="U35" s="28">
        <v>0.56156455221746115</v>
      </c>
      <c r="V35" s="27" t="s">
        <v>499</v>
      </c>
    </row>
    <row r="36" spans="1:22" x14ac:dyDescent="0.25">
      <c r="A36" s="27" t="s">
        <v>74</v>
      </c>
      <c r="B36" s="27">
        <v>512</v>
      </c>
      <c r="C36" s="27">
        <v>271</v>
      </c>
      <c r="D36" s="27">
        <v>427</v>
      </c>
      <c r="E36" s="27">
        <v>456</v>
      </c>
      <c r="F36" s="27">
        <v>447</v>
      </c>
      <c r="G36" s="27">
        <v>457</v>
      </c>
      <c r="H36" s="27">
        <v>567</v>
      </c>
      <c r="I36" s="27">
        <v>628</v>
      </c>
      <c r="J36" s="27">
        <v>452</v>
      </c>
      <c r="K36" s="27">
        <v>5</v>
      </c>
      <c r="L36" s="28">
        <v>0.86615044247787609</v>
      </c>
      <c r="M36" s="28">
        <v>0.26676504022847097</v>
      </c>
      <c r="N36" s="28">
        <v>0.30798926739021432</v>
      </c>
      <c r="O36" s="28">
        <v>0.97676991150442483</v>
      </c>
      <c r="P36" s="28">
        <v>3.3850424138691639E-2</v>
      </c>
      <c r="Q36" s="28">
        <v>3.4655473863394383E-2</v>
      </c>
      <c r="R36" s="28">
        <v>1.321902654867257</v>
      </c>
      <c r="S36" s="28">
        <v>6.904412024345867E-2</v>
      </c>
      <c r="T36" s="28">
        <v>5.2230865857813093E-2</v>
      </c>
      <c r="U36" s="28">
        <v>0.39487560711142178</v>
      </c>
      <c r="V36" s="27" t="s">
        <v>501</v>
      </c>
    </row>
    <row r="37" spans="1:22" x14ac:dyDescent="0.25">
      <c r="A37" s="27" t="s">
        <v>76</v>
      </c>
      <c r="B37" s="27">
        <v>154</v>
      </c>
      <c r="C37" s="27">
        <v>94</v>
      </c>
      <c r="D37" s="27">
        <v>139</v>
      </c>
      <c r="E37" s="27">
        <v>110</v>
      </c>
      <c r="F37" s="27">
        <v>133</v>
      </c>
      <c r="G37" s="27">
        <v>138</v>
      </c>
      <c r="H37" s="27">
        <v>265</v>
      </c>
      <c r="I37" s="27">
        <v>220</v>
      </c>
      <c r="J37" s="27">
        <v>135.5</v>
      </c>
      <c r="K37" s="27">
        <v>2.5</v>
      </c>
      <c r="L37" s="28">
        <v>0.91512915129151295</v>
      </c>
      <c r="M37" s="28">
        <v>0.22204508555082589</v>
      </c>
      <c r="N37" s="28">
        <v>0.24263797654949121</v>
      </c>
      <c r="O37" s="28">
        <v>0.91881918819188191</v>
      </c>
      <c r="P37" s="28">
        <v>0.1083455233691141</v>
      </c>
      <c r="Q37" s="28">
        <v>0.1179182202129716</v>
      </c>
      <c r="R37" s="28">
        <v>1.789667896678967</v>
      </c>
      <c r="S37" s="28">
        <v>0.16930284917660329</v>
      </c>
      <c r="T37" s="28">
        <v>9.4600148715174207E-2</v>
      </c>
      <c r="U37" s="28">
        <v>0.45515634547763689</v>
      </c>
      <c r="V37" s="27" t="s">
        <v>498</v>
      </c>
    </row>
    <row r="38" spans="1:22" x14ac:dyDescent="0.25">
      <c r="A38" s="27" t="s">
        <v>78</v>
      </c>
      <c r="B38" s="27">
        <v>11</v>
      </c>
      <c r="C38" s="27">
        <v>12</v>
      </c>
      <c r="D38" s="27">
        <v>13</v>
      </c>
      <c r="E38" s="27">
        <v>15</v>
      </c>
      <c r="F38" s="27">
        <v>15</v>
      </c>
      <c r="G38" s="27">
        <v>11</v>
      </c>
      <c r="H38" s="27">
        <v>34</v>
      </c>
      <c r="I38" s="27">
        <v>26</v>
      </c>
      <c r="J38" s="27">
        <v>13</v>
      </c>
      <c r="K38" s="27">
        <v>2</v>
      </c>
      <c r="L38" s="28">
        <v>0.88461538461538458</v>
      </c>
      <c r="M38" s="28">
        <v>0.14142506985464051</v>
      </c>
      <c r="N38" s="28">
        <v>0.1598718180965501</v>
      </c>
      <c r="O38" s="28">
        <v>1.0769230769230771</v>
      </c>
      <c r="P38" s="28">
        <v>0.18266685254950449</v>
      </c>
      <c r="Q38" s="28">
        <v>0.1696192202245399</v>
      </c>
      <c r="R38" s="28">
        <v>2.307692307692307</v>
      </c>
      <c r="S38" s="28">
        <v>0.46980907079950779</v>
      </c>
      <c r="T38" s="28">
        <v>0.20358393067978681</v>
      </c>
      <c r="U38" s="28">
        <v>0.5330749690008767</v>
      </c>
      <c r="V38" s="27" t="s">
        <v>498</v>
      </c>
    </row>
    <row r="39" spans="1:22" x14ac:dyDescent="0.25">
      <c r="A39" s="27" t="s">
        <v>80</v>
      </c>
      <c r="B39" s="27">
        <v>8</v>
      </c>
      <c r="C39" s="27">
        <v>11</v>
      </c>
      <c r="D39" s="27">
        <v>18</v>
      </c>
      <c r="E39" s="27">
        <v>9</v>
      </c>
      <c r="F39" s="27">
        <v>10</v>
      </c>
      <c r="G39" s="27">
        <v>14</v>
      </c>
      <c r="H39" s="27">
        <v>13</v>
      </c>
      <c r="I39" s="27">
        <v>15</v>
      </c>
      <c r="J39" s="27">
        <v>12</v>
      </c>
      <c r="K39" s="27">
        <v>2</v>
      </c>
      <c r="L39" s="28">
        <v>0.79166666666666663</v>
      </c>
      <c r="M39" s="28">
        <v>0.18175350455975561</v>
      </c>
      <c r="N39" s="28">
        <v>0.2295833741807439</v>
      </c>
      <c r="O39" s="28">
        <v>1.125</v>
      </c>
      <c r="P39" s="28">
        <v>0.41926274578121059</v>
      </c>
      <c r="Q39" s="28">
        <v>0.37267799624996489</v>
      </c>
      <c r="R39" s="28">
        <v>1.166666666666667</v>
      </c>
      <c r="S39" s="28">
        <v>0.2115492529406641</v>
      </c>
      <c r="T39" s="28">
        <v>0.1813279310919978</v>
      </c>
      <c r="U39" s="28">
        <v>0.78358930152270667</v>
      </c>
      <c r="V39" s="27" t="s">
        <v>500</v>
      </c>
    </row>
    <row r="40" spans="1:22" x14ac:dyDescent="0.25">
      <c r="A40" s="27" t="s">
        <v>82</v>
      </c>
      <c r="B40" s="27">
        <v>580</v>
      </c>
      <c r="C40" s="27">
        <v>303</v>
      </c>
      <c r="D40" s="27">
        <v>518</v>
      </c>
      <c r="E40" s="27">
        <v>497</v>
      </c>
      <c r="F40" s="27">
        <v>537</v>
      </c>
      <c r="G40" s="27">
        <v>571</v>
      </c>
      <c r="H40" s="27">
        <v>603</v>
      </c>
      <c r="I40" s="27">
        <v>790</v>
      </c>
      <c r="J40" s="27">
        <v>554</v>
      </c>
      <c r="K40" s="27">
        <v>17</v>
      </c>
      <c r="L40" s="28">
        <v>0.79693140794223827</v>
      </c>
      <c r="M40" s="28">
        <v>0.25119320489244479</v>
      </c>
      <c r="N40" s="28">
        <v>0.31520053343242233</v>
      </c>
      <c r="O40" s="28">
        <v>0.91606498194945851</v>
      </c>
      <c r="P40" s="28">
        <v>3.3902914656815747E-2</v>
      </c>
      <c r="Q40" s="28">
        <v>3.7009290088425469E-2</v>
      </c>
      <c r="R40" s="28">
        <v>1.2572202166064981</v>
      </c>
      <c r="S40" s="28">
        <v>0.17312571794513559</v>
      </c>
      <c r="T40" s="28">
        <v>0.1377051654581552</v>
      </c>
      <c r="U40" s="28">
        <v>0.48991498897900287</v>
      </c>
      <c r="V40" s="27" t="s">
        <v>498</v>
      </c>
    </row>
    <row r="41" spans="1:22" x14ac:dyDescent="0.25">
      <c r="A41" s="27" t="s">
        <v>84</v>
      </c>
      <c r="B41" s="27">
        <v>3239</v>
      </c>
      <c r="C41" s="27">
        <v>2003</v>
      </c>
      <c r="D41" s="27">
        <v>2724</v>
      </c>
      <c r="E41" s="27">
        <v>2653</v>
      </c>
      <c r="F41" s="27">
        <v>3117</v>
      </c>
      <c r="G41" s="27">
        <v>2868</v>
      </c>
      <c r="H41" s="27">
        <v>2828</v>
      </c>
      <c r="I41" s="27">
        <v>4626</v>
      </c>
      <c r="J41" s="27">
        <v>2992.5</v>
      </c>
      <c r="K41" s="27">
        <v>124.5</v>
      </c>
      <c r="L41" s="28">
        <v>0.87585630743525478</v>
      </c>
      <c r="M41" s="28">
        <v>0.20970643496468919</v>
      </c>
      <c r="N41" s="28">
        <v>0.23943018185113801</v>
      </c>
      <c r="O41" s="28">
        <v>0.89841269841269844</v>
      </c>
      <c r="P41" s="28">
        <v>3.9214963447691931E-2</v>
      </c>
      <c r="Q41" s="28">
        <v>4.3649164261565232E-2</v>
      </c>
      <c r="R41" s="28">
        <v>1.2454469507101089</v>
      </c>
      <c r="S41" s="28">
        <v>0.30485349948596979</v>
      </c>
      <c r="T41" s="28">
        <v>0.24477437542574851</v>
      </c>
      <c r="U41" s="28">
        <v>0.52785372153845167</v>
      </c>
      <c r="V41" s="27" t="s">
        <v>498</v>
      </c>
    </row>
    <row r="42" spans="1:22" x14ac:dyDescent="0.25">
      <c r="A42" s="27" t="s">
        <v>86</v>
      </c>
      <c r="B42" s="27">
        <v>241</v>
      </c>
      <c r="C42" s="27">
        <v>166</v>
      </c>
      <c r="D42" s="27">
        <v>259</v>
      </c>
      <c r="E42" s="27">
        <v>222</v>
      </c>
      <c r="F42" s="27">
        <v>201</v>
      </c>
      <c r="G42" s="27">
        <v>277</v>
      </c>
      <c r="H42" s="27">
        <v>399</v>
      </c>
      <c r="I42" s="27">
        <v>310</v>
      </c>
      <c r="J42" s="27">
        <v>239</v>
      </c>
      <c r="K42" s="27">
        <v>38</v>
      </c>
      <c r="L42" s="28">
        <v>0.85146443514644354</v>
      </c>
      <c r="M42" s="28">
        <v>0.20723499182932581</v>
      </c>
      <c r="N42" s="28">
        <v>0.24338655060053491</v>
      </c>
      <c r="O42" s="28">
        <v>1.006276150627615</v>
      </c>
      <c r="P42" s="28">
        <v>0.17773477454021511</v>
      </c>
      <c r="Q42" s="28">
        <v>0.17662624164287491</v>
      </c>
      <c r="R42" s="28">
        <v>1.48326359832636</v>
      </c>
      <c r="S42" s="28">
        <v>0.30047412633128889</v>
      </c>
      <c r="T42" s="28">
        <v>0.20257635033336541</v>
      </c>
      <c r="U42" s="28">
        <v>0.62258914257677533</v>
      </c>
      <c r="V42" s="27" t="s">
        <v>499</v>
      </c>
    </row>
    <row r="43" spans="1:22" x14ac:dyDescent="0.25">
      <c r="A43" s="27" t="s">
        <v>88</v>
      </c>
      <c r="B43" s="27">
        <v>1543</v>
      </c>
      <c r="C43" s="27">
        <v>965</v>
      </c>
      <c r="D43" s="27">
        <v>1315</v>
      </c>
      <c r="E43" s="27">
        <v>1167</v>
      </c>
      <c r="F43" s="27">
        <v>1382</v>
      </c>
      <c r="G43" s="27">
        <v>1283</v>
      </c>
      <c r="H43" s="27">
        <v>1268</v>
      </c>
      <c r="I43" s="27">
        <v>1829</v>
      </c>
      <c r="J43" s="27">
        <v>1332.5</v>
      </c>
      <c r="K43" s="27">
        <v>49.5</v>
      </c>
      <c r="L43" s="28">
        <v>0.94108818011257034</v>
      </c>
      <c r="M43" s="28">
        <v>0.2196850639475374</v>
      </c>
      <c r="N43" s="28">
        <v>0.2334372788756727</v>
      </c>
      <c r="O43" s="28">
        <v>0.93133208255159472</v>
      </c>
      <c r="P43" s="28">
        <v>6.5429954557459494E-2</v>
      </c>
      <c r="Q43" s="28">
        <v>7.0254161521204492E-2</v>
      </c>
      <c r="R43" s="28">
        <v>1.162101313320826</v>
      </c>
      <c r="S43" s="28">
        <v>0.21488755858846489</v>
      </c>
      <c r="T43" s="28">
        <v>0.1849129298153887</v>
      </c>
      <c r="U43" s="28">
        <v>0.48860437021226588</v>
      </c>
      <c r="V43" s="27" t="s">
        <v>498</v>
      </c>
    </row>
    <row r="44" spans="1:22" x14ac:dyDescent="0.25">
      <c r="A44" s="27" t="s">
        <v>90</v>
      </c>
      <c r="B44" s="27">
        <v>4</v>
      </c>
      <c r="C44" s="27">
        <v>5</v>
      </c>
      <c r="D44" s="27">
        <v>6</v>
      </c>
      <c r="E44" s="27">
        <v>6</v>
      </c>
      <c r="F44" s="27">
        <v>12</v>
      </c>
      <c r="G44" s="27">
        <v>10</v>
      </c>
      <c r="H44" s="27">
        <v>13</v>
      </c>
      <c r="I44" s="27">
        <v>17</v>
      </c>
      <c r="J44" s="27">
        <v>11</v>
      </c>
      <c r="K44" s="27">
        <v>1</v>
      </c>
      <c r="L44" s="28">
        <v>0.40909090909090912</v>
      </c>
      <c r="M44" s="28">
        <v>5.8730042989883872E-2</v>
      </c>
      <c r="N44" s="28">
        <v>0.14356232730860499</v>
      </c>
      <c r="O44" s="28">
        <v>0.54545454545454541</v>
      </c>
      <c r="P44" s="28">
        <v>4.9586776859504127E-2</v>
      </c>
      <c r="Q44" s="28">
        <v>9.0909090909090912E-2</v>
      </c>
      <c r="R44" s="28">
        <v>1.363636363636364</v>
      </c>
      <c r="S44" s="28">
        <v>0.2200582967883363</v>
      </c>
      <c r="T44" s="28">
        <v>0.16137608431144659</v>
      </c>
      <c r="U44" s="28">
        <v>0.39584750252914258</v>
      </c>
      <c r="V44" s="27" t="s">
        <v>501</v>
      </c>
    </row>
    <row r="45" spans="1:22" x14ac:dyDescent="0.25">
      <c r="A45" s="27" t="s">
        <v>92</v>
      </c>
      <c r="B45" s="27">
        <v>6</v>
      </c>
      <c r="C45" s="27">
        <v>7</v>
      </c>
      <c r="D45" s="27">
        <v>16</v>
      </c>
      <c r="E45" s="27">
        <v>10</v>
      </c>
      <c r="F45" s="27">
        <v>6</v>
      </c>
      <c r="G45" s="27">
        <v>12</v>
      </c>
      <c r="H45" s="27">
        <v>14</v>
      </c>
      <c r="I45" s="27">
        <v>9</v>
      </c>
      <c r="J45" s="27">
        <v>9</v>
      </c>
      <c r="K45" s="27">
        <v>3</v>
      </c>
      <c r="L45" s="28">
        <v>0.72222222222222221</v>
      </c>
      <c r="M45" s="28">
        <v>0.24706785303937651</v>
      </c>
      <c r="N45" s="28">
        <v>0.34209395036221368</v>
      </c>
      <c r="O45" s="28">
        <v>1.444444444444444</v>
      </c>
      <c r="P45" s="28">
        <v>0.58560697410525542</v>
      </c>
      <c r="Q45" s="28">
        <v>0.40542021284209989</v>
      </c>
      <c r="R45" s="28">
        <v>1.2777777777777779</v>
      </c>
      <c r="S45" s="28">
        <v>0.50850111917577701</v>
      </c>
      <c r="T45" s="28">
        <v>0.39795739761582549</v>
      </c>
      <c r="U45" s="28">
        <v>1.1454715608201389</v>
      </c>
      <c r="V45" s="27" t="s">
        <v>500</v>
      </c>
    </row>
    <row r="46" spans="1:22" x14ac:dyDescent="0.25">
      <c r="A46" s="27" t="s">
        <v>94</v>
      </c>
      <c r="B46" s="27">
        <v>876</v>
      </c>
      <c r="C46" s="27">
        <v>523</v>
      </c>
      <c r="D46" s="27">
        <v>881</v>
      </c>
      <c r="E46" s="27">
        <v>799</v>
      </c>
      <c r="F46" s="27">
        <v>843</v>
      </c>
      <c r="G46" s="27">
        <v>947</v>
      </c>
      <c r="H46" s="27">
        <v>943</v>
      </c>
      <c r="I46" s="27">
        <v>1020</v>
      </c>
      <c r="J46" s="27">
        <v>895</v>
      </c>
      <c r="K46" s="27">
        <v>52</v>
      </c>
      <c r="L46" s="28">
        <v>0.7815642458100559</v>
      </c>
      <c r="M46" s="28">
        <v>0.20236721658275861</v>
      </c>
      <c r="N46" s="28">
        <v>0.25892588826528801</v>
      </c>
      <c r="O46" s="28">
        <v>0.93854748603351956</v>
      </c>
      <c r="P46" s="28">
        <v>7.1218653824181521E-2</v>
      </c>
      <c r="Q46" s="28">
        <v>7.5881779967431506E-2</v>
      </c>
      <c r="R46" s="28">
        <v>1.0966480446927369</v>
      </c>
      <c r="S46" s="28">
        <v>7.6877519166572414E-2</v>
      </c>
      <c r="T46" s="28">
        <v>7.0102271680165376E-2</v>
      </c>
      <c r="U46" s="28">
        <v>0.40490993991288488</v>
      </c>
      <c r="V46" s="27" t="s">
        <v>501</v>
      </c>
    </row>
    <row r="47" spans="1:22" x14ac:dyDescent="0.25">
      <c r="A47" s="27" t="s">
        <v>96</v>
      </c>
      <c r="B47" s="27">
        <v>174</v>
      </c>
      <c r="C47" s="27">
        <v>107</v>
      </c>
      <c r="D47" s="27">
        <v>151</v>
      </c>
      <c r="E47" s="27">
        <v>154</v>
      </c>
      <c r="F47" s="27">
        <v>155</v>
      </c>
      <c r="G47" s="27">
        <v>158</v>
      </c>
      <c r="H47" s="27">
        <v>183</v>
      </c>
      <c r="I47" s="27">
        <v>288</v>
      </c>
      <c r="J47" s="27">
        <v>156.5</v>
      </c>
      <c r="K47" s="27">
        <v>1.5</v>
      </c>
      <c r="L47" s="28">
        <v>0.89776357827476039</v>
      </c>
      <c r="M47" s="28">
        <v>0.21423038689074181</v>
      </c>
      <c r="N47" s="28">
        <v>0.23862672988185829</v>
      </c>
      <c r="O47" s="28">
        <v>0.9744408945686901</v>
      </c>
      <c r="P47" s="28">
        <v>1.3382659918430439E-2</v>
      </c>
      <c r="Q47" s="28">
        <v>1.373368050645484E-2</v>
      </c>
      <c r="R47" s="28">
        <v>1.5047923322683709</v>
      </c>
      <c r="S47" s="28">
        <v>0.33577316583741518</v>
      </c>
      <c r="T47" s="28">
        <v>0.2231358830299596</v>
      </c>
      <c r="U47" s="28">
        <v>0.47549629341827282</v>
      </c>
      <c r="V47" s="27" t="s">
        <v>498</v>
      </c>
    </row>
    <row r="48" spans="1:22" x14ac:dyDescent="0.25">
      <c r="A48" s="27" t="s">
        <v>98</v>
      </c>
      <c r="B48" s="27">
        <v>353</v>
      </c>
      <c r="C48" s="27">
        <v>198</v>
      </c>
      <c r="D48" s="27">
        <v>358</v>
      </c>
      <c r="E48" s="27">
        <v>309</v>
      </c>
      <c r="F48" s="27">
        <v>287</v>
      </c>
      <c r="G48" s="27">
        <v>371</v>
      </c>
      <c r="H48" s="27">
        <v>613</v>
      </c>
      <c r="I48" s="27">
        <v>506</v>
      </c>
      <c r="J48" s="27">
        <v>329</v>
      </c>
      <c r="K48" s="27">
        <v>42</v>
      </c>
      <c r="L48" s="28">
        <v>0.83738601823708203</v>
      </c>
      <c r="M48" s="28">
        <v>0.25868375516778808</v>
      </c>
      <c r="N48" s="28">
        <v>0.30891816860327509</v>
      </c>
      <c r="O48" s="28">
        <v>1.0136778115501519</v>
      </c>
      <c r="P48" s="28">
        <v>0.14930279708105959</v>
      </c>
      <c r="Q48" s="28">
        <v>0.14728821661070049</v>
      </c>
      <c r="R48" s="28">
        <v>1.7006079027355621</v>
      </c>
      <c r="S48" s="28">
        <v>0.27124754613305879</v>
      </c>
      <c r="T48" s="28">
        <v>0.1595003443749354</v>
      </c>
      <c r="U48" s="28">
        <v>0.61570672958891093</v>
      </c>
      <c r="V48" s="27" t="s">
        <v>499</v>
      </c>
    </row>
    <row r="49" spans="1:22" x14ac:dyDescent="0.25">
      <c r="A49" s="27" t="s">
        <v>100</v>
      </c>
      <c r="B49" s="27">
        <v>904</v>
      </c>
      <c r="C49" s="27">
        <v>660</v>
      </c>
      <c r="D49" s="27">
        <v>965</v>
      </c>
      <c r="E49" s="27">
        <v>871</v>
      </c>
      <c r="F49" s="27">
        <v>750</v>
      </c>
      <c r="G49" s="27">
        <v>1124</v>
      </c>
      <c r="H49" s="27">
        <v>1373</v>
      </c>
      <c r="I49" s="27">
        <v>1225</v>
      </c>
      <c r="J49" s="27">
        <v>937</v>
      </c>
      <c r="K49" s="27">
        <v>187</v>
      </c>
      <c r="L49" s="28">
        <v>0.83457844183564567</v>
      </c>
      <c r="M49" s="28">
        <v>0.21141144752655541</v>
      </c>
      <c r="N49" s="28">
        <v>0.25331525106442759</v>
      </c>
      <c r="O49" s="28">
        <v>0.97972251867662752</v>
      </c>
      <c r="P49" s="28">
        <v>0.20185775872381709</v>
      </c>
      <c r="Q49" s="28">
        <v>0.20603564261897239</v>
      </c>
      <c r="R49" s="28">
        <v>1.3863393810032021</v>
      </c>
      <c r="S49" s="28">
        <v>0.28772688803552621</v>
      </c>
      <c r="T49" s="28">
        <v>0.20754433725118401</v>
      </c>
      <c r="U49" s="28">
        <v>0.66689523093458403</v>
      </c>
      <c r="V49" s="27" t="s">
        <v>500</v>
      </c>
    </row>
    <row r="50" spans="1:22" x14ac:dyDescent="0.25">
      <c r="A50" s="27" t="s">
        <v>102</v>
      </c>
      <c r="B50" s="27">
        <v>16</v>
      </c>
      <c r="C50" s="27">
        <v>12</v>
      </c>
      <c r="D50" s="27">
        <v>13</v>
      </c>
      <c r="E50" s="27">
        <v>14</v>
      </c>
      <c r="F50" s="27">
        <v>11</v>
      </c>
      <c r="G50" s="27">
        <v>10</v>
      </c>
      <c r="H50" s="27">
        <v>20</v>
      </c>
      <c r="I50" s="27">
        <v>15</v>
      </c>
      <c r="J50" s="27">
        <v>10.5</v>
      </c>
      <c r="K50" s="27">
        <v>0.5</v>
      </c>
      <c r="L50" s="28">
        <v>1.333333333333333</v>
      </c>
      <c r="M50" s="28">
        <v>0.20077953397894471</v>
      </c>
      <c r="N50" s="28">
        <v>0.15058465048420849</v>
      </c>
      <c r="O50" s="28">
        <v>1.285714285714286</v>
      </c>
      <c r="P50" s="28">
        <v>7.756295408837674E-2</v>
      </c>
      <c r="Q50" s="28">
        <v>6.0326742068737463E-2</v>
      </c>
      <c r="R50" s="28">
        <v>1.666666666666667</v>
      </c>
      <c r="S50" s="28">
        <v>0.25097441747368088</v>
      </c>
      <c r="T50" s="28">
        <v>0.15058465048420849</v>
      </c>
      <c r="U50" s="28">
        <v>0.36149604303715449</v>
      </c>
      <c r="V50" s="27" t="s">
        <v>501</v>
      </c>
    </row>
    <row r="51" spans="1:22" x14ac:dyDescent="0.25">
      <c r="A51" s="27" t="s">
        <v>104</v>
      </c>
      <c r="B51" s="27">
        <v>669</v>
      </c>
      <c r="C51" s="27">
        <v>366</v>
      </c>
      <c r="D51" s="27">
        <v>541</v>
      </c>
      <c r="E51" s="27">
        <v>617</v>
      </c>
      <c r="F51" s="27">
        <v>639</v>
      </c>
      <c r="G51" s="27">
        <v>666</v>
      </c>
      <c r="H51" s="27">
        <v>881</v>
      </c>
      <c r="I51" s="27">
        <v>941</v>
      </c>
      <c r="J51" s="27">
        <v>652.5</v>
      </c>
      <c r="K51" s="27">
        <v>13.5</v>
      </c>
      <c r="L51" s="28">
        <v>0.7931034482758621</v>
      </c>
      <c r="M51" s="28">
        <v>0.23276302035805521</v>
      </c>
      <c r="N51" s="28">
        <v>0.29348380827754789</v>
      </c>
      <c r="O51" s="28">
        <v>0.88735632183908042</v>
      </c>
      <c r="P51" s="28">
        <v>6.1062823403609412E-2</v>
      </c>
      <c r="Q51" s="28">
        <v>6.8814321711321486E-2</v>
      </c>
      <c r="R51" s="28">
        <v>1.396168582375479</v>
      </c>
      <c r="S51" s="28">
        <v>5.4298258025877212E-2</v>
      </c>
      <c r="T51" s="28">
        <v>3.889090380009317E-2</v>
      </c>
      <c r="U51" s="28">
        <v>0.40118903378896248</v>
      </c>
      <c r="V51" s="27" t="s">
        <v>501</v>
      </c>
    </row>
    <row r="52" spans="1:22" x14ac:dyDescent="0.25">
      <c r="A52" s="27" t="s">
        <v>106</v>
      </c>
      <c r="B52" s="27">
        <v>1853</v>
      </c>
      <c r="C52" s="27">
        <v>1273</v>
      </c>
      <c r="D52" s="27">
        <v>2088</v>
      </c>
      <c r="E52" s="27">
        <v>1616</v>
      </c>
      <c r="F52" s="27">
        <v>1498</v>
      </c>
      <c r="G52" s="27">
        <v>2206</v>
      </c>
      <c r="H52" s="27">
        <v>3733</v>
      </c>
      <c r="I52" s="27">
        <v>2836</v>
      </c>
      <c r="J52" s="27">
        <v>1852</v>
      </c>
      <c r="K52" s="27">
        <v>354</v>
      </c>
      <c r="L52" s="28">
        <v>0.84395248380129595</v>
      </c>
      <c r="M52" s="28">
        <v>0.22481732092142051</v>
      </c>
      <c r="N52" s="28">
        <v>0.26638623054796601</v>
      </c>
      <c r="O52" s="28">
        <v>1</v>
      </c>
      <c r="P52" s="28">
        <v>0.2297273490846386</v>
      </c>
      <c r="Q52" s="28">
        <v>0.2297273490846386</v>
      </c>
      <c r="R52" s="28">
        <v>1.7734881209503239</v>
      </c>
      <c r="S52" s="28">
        <v>0.41660866292297438</v>
      </c>
      <c r="T52" s="28">
        <v>0.23490919279444319</v>
      </c>
      <c r="U52" s="28">
        <v>0.73102277242704772</v>
      </c>
      <c r="V52" s="27" t="s">
        <v>500</v>
      </c>
    </row>
    <row r="53" spans="1:22" x14ac:dyDescent="0.25">
      <c r="A53" s="27" t="s">
        <v>108</v>
      </c>
      <c r="B53" s="27">
        <v>13</v>
      </c>
      <c r="C53" s="27">
        <v>7</v>
      </c>
      <c r="D53" s="27">
        <v>9</v>
      </c>
      <c r="E53" s="27">
        <v>14</v>
      </c>
      <c r="F53" s="27">
        <v>15</v>
      </c>
      <c r="G53" s="27">
        <v>8</v>
      </c>
      <c r="H53" s="27">
        <v>12</v>
      </c>
      <c r="I53" s="27">
        <v>8</v>
      </c>
      <c r="J53" s="27">
        <v>11.5</v>
      </c>
      <c r="K53" s="27">
        <v>3.5</v>
      </c>
      <c r="L53" s="28">
        <v>0.86956521739130432</v>
      </c>
      <c r="M53" s="28">
        <v>0.37160826503437377</v>
      </c>
      <c r="N53" s="28">
        <v>0.42734950478952988</v>
      </c>
      <c r="O53" s="28">
        <v>1</v>
      </c>
      <c r="P53" s="28">
        <v>0.37401414204533162</v>
      </c>
      <c r="Q53" s="28">
        <v>0.37401414204533162</v>
      </c>
      <c r="R53" s="28">
        <v>0.86956521739130432</v>
      </c>
      <c r="S53" s="28">
        <v>0.31667888985061521</v>
      </c>
      <c r="T53" s="28">
        <v>0.36418072332820739</v>
      </c>
      <c r="U53" s="28">
        <v>1.165544370163069</v>
      </c>
      <c r="V53" s="27" t="s">
        <v>500</v>
      </c>
    </row>
    <row r="54" spans="1:22" x14ac:dyDescent="0.25">
      <c r="A54" s="27" t="s">
        <v>110</v>
      </c>
      <c r="B54" s="27">
        <v>14</v>
      </c>
      <c r="C54" s="27">
        <v>7</v>
      </c>
      <c r="D54" s="27">
        <v>13</v>
      </c>
      <c r="E54" s="27">
        <v>11</v>
      </c>
      <c r="F54" s="27">
        <v>11</v>
      </c>
      <c r="G54" s="27">
        <v>14</v>
      </c>
      <c r="H54" s="27">
        <v>14</v>
      </c>
      <c r="I54" s="27">
        <v>18</v>
      </c>
      <c r="J54" s="27">
        <v>12.5</v>
      </c>
      <c r="K54" s="27">
        <v>1.5</v>
      </c>
      <c r="L54" s="28">
        <v>0.84</v>
      </c>
      <c r="M54" s="28">
        <v>0.29759139772513582</v>
      </c>
      <c r="N54" s="28">
        <v>0.35427547348230448</v>
      </c>
      <c r="O54" s="28">
        <v>0.96</v>
      </c>
      <c r="P54" s="28">
        <v>0.1402534848051912</v>
      </c>
      <c r="Q54" s="28">
        <v>0.14609738000540751</v>
      </c>
      <c r="R54" s="28">
        <v>1.28</v>
      </c>
      <c r="S54" s="28">
        <v>0.22179486017489219</v>
      </c>
      <c r="T54" s="28">
        <v>0.1732772345116346</v>
      </c>
      <c r="U54" s="28">
        <v>0.67365008799934667</v>
      </c>
      <c r="V54" s="27" t="s">
        <v>500</v>
      </c>
    </row>
    <row r="55" spans="1:22" x14ac:dyDescent="0.25">
      <c r="A55" s="27" t="s">
        <v>112</v>
      </c>
      <c r="B55" s="27">
        <v>31</v>
      </c>
      <c r="C55" s="27">
        <v>20</v>
      </c>
      <c r="D55" s="27">
        <v>19</v>
      </c>
      <c r="E55" s="27">
        <v>21</v>
      </c>
      <c r="F55" s="27">
        <v>8</v>
      </c>
      <c r="G55" s="27">
        <v>27</v>
      </c>
      <c r="H55" s="27">
        <v>26</v>
      </c>
      <c r="I55" s="27">
        <v>23</v>
      </c>
      <c r="J55" s="27">
        <v>17.5</v>
      </c>
      <c r="K55" s="27">
        <v>9.5</v>
      </c>
      <c r="L55" s="28">
        <v>1.4571428571428571</v>
      </c>
      <c r="M55" s="28">
        <v>0.85116907623271909</v>
      </c>
      <c r="N55" s="28">
        <v>0.58413564055186606</v>
      </c>
      <c r="O55" s="28">
        <v>1.142857142857143</v>
      </c>
      <c r="P55" s="28">
        <v>0.62303418459076509</v>
      </c>
      <c r="Q55" s="28">
        <v>0.54515491151691953</v>
      </c>
      <c r="R55" s="28">
        <v>1.4</v>
      </c>
      <c r="S55" s="28">
        <v>0.76481823904474855</v>
      </c>
      <c r="T55" s="28">
        <v>0.54629874217482044</v>
      </c>
      <c r="U55" s="28">
        <v>1.6755892942436059</v>
      </c>
      <c r="V55" s="27" t="s">
        <v>500</v>
      </c>
    </row>
    <row r="56" spans="1:22" x14ac:dyDescent="0.25">
      <c r="A56" s="27" t="s">
        <v>114</v>
      </c>
      <c r="B56" s="27">
        <v>8</v>
      </c>
      <c r="C56" s="27">
        <v>5</v>
      </c>
      <c r="D56" s="27">
        <v>10</v>
      </c>
      <c r="E56" s="27">
        <v>8</v>
      </c>
      <c r="F56" s="27">
        <v>13</v>
      </c>
      <c r="G56" s="27">
        <v>8</v>
      </c>
      <c r="H56" s="27">
        <v>14</v>
      </c>
      <c r="I56" s="27">
        <v>13</v>
      </c>
      <c r="J56" s="27">
        <v>10.5</v>
      </c>
      <c r="K56" s="27">
        <v>2.5</v>
      </c>
      <c r="L56" s="28">
        <v>0.61904761904761907</v>
      </c>
      <c r="M56" s="28">
        <v>0.205262394242782</v>
      </c>
      <c r="N56" s="28">
        <v>0.33157771377680167</v>
      </c>
      <c r="O56" s="28">
        <v>0.8571428571428571</v>
      </c>
      <c r="P56" s="28">
        <v>0.22521014091492311</v>
      </c>
      <c r="Q56" s="28">
        <v>0.26274516440074358</v>
      </c>
      <c r="R56" s="28">
        <v>1.285714285714286</v>
      </c>
      <c r="S56" s="28">
        <v>0.30980401460505308</v>
      </c>
      <c r="T56" s="28">
        <v>0.2409586780261524</v>
      </c>
      <c r="U56" s="28">
        <v>0.83528155620369759</v>
      </c>
      <c r="V56" s="27" t="s">
        <v>500</v>
      </c>
    </row>
    <row r="57" spans="1:22" x14ac:dyDescent="0.25">
      <c r="A57" s="27" t="s">
        <v>116</v>
      </c>
      <c r="B57" s="27">
        <v>10</v>
      </c>
      <c r="C57" s="27">
        <v>4</v>
      </c>
      <c r="D57" s="27">
        <v>7</v>
      </c>
      <c r="E57" s="27">
        <v>11</v>
      </c>
      <c r="F57" s="27">
        <v>7</v>
      </c>
      <c r="G57" s="27">
        <v>6</v>
      </c>
      <c r="H57" s="27">
        <v>5</v>
      </c>
      <c r="I57" s="27">
        <v>12</v>
      </c>
      <c r="J57" s="27">
        <v>6.5</v>
      </c>
      <c r="K57" s="27">
        <v>0.5</v>
      </c>
      <c r="L57" s="28">
        <v>1.0769230769230771</v>
      </c>
      <c r="M57" s="28">
        <v>0.46891391138837751</v>
      </c>
      <c r="N57" s="28">
        <v>0.43542006057492189</v>
      </c>
      <c r="O57" s="28">
        <v>1.384615384615385</v>
      </c>
      <c r="P57" s="28">
        <v>0.32560512407568287</v>
      </c>
      <c r="Q57" s="28">
        <v>0.23515925627688211</v>
      </c>
      <c r="R57" s="28">
        <v>1.3076923076923079</v>
      </c>
      <c r="S57" s="28">
        <v>0.54777689046310618</v>
      </c>
      <c r="T57" s="28">
        <v>0.41888821035413998</v>
      </c>
      <c r="U57" s="28">
        <v>1.089467527205944</v>
      </c>
      <c r="V57" s="27" t="s">
        <v>500</v>
      </c>
    </row>
    <row r="58" spans="1:22" x14ac:dyDescent="0.25">
      <c r="A58" s="27" t="s">
        <v>118</v>
      </c>
      <c r="B58" s="27">
        <v>809</v>
      </c>
      <c r="C58" s="27">
        <v>645</v>
      </c>
      <c r="D58" s="27">
        <v>743</v>
      </c>
      <c r="E58" s="27">
        <v>755</v>
      </c>
      <c r="F58" s="27">
        <v>746</v>
      </c>
      <c r="G58" s="27">
        <v>754</v>
      </c>
      <c r="H58" s="27">
        <v>820</v>
      </c>
      <c r="I58" s="27">
        <v>1005</v>
      </c>
      <c r="J58" s="27">
        <v>750</v>
      </c>
      <c r="K58" s="27">
        <v>4</v>
      </c>
      <c r="L58" s="28">
        <v>0.96933333333333338</v>
      </c>
      <c r="M58" s="28">
        <v>0.1094554904061435</v>
      </c>
      <c r="N58" s="28">
        <v>0.1129183188509046</v>
      </c>
      <c r="O58" s="28">
        <v>0.9986666666666667</v>
      </c>
      <c r="P58" s="28">
        <v>9.6108606878101115E-3</v>
      </c>
      <c r="Q58" s="28">
        <v>9.6236922775134633E-3</v>
      </c>
      <c r="R58" s="28">
        <v>1.216666666666667</v>
      </c>
      <c r="S58" s="28">
        <v>0.1235039140680305</v>
      </c>
      <c r="T58" s="28">
        <v>0.10151006635728529</v>
      </c>
      <c r="U58" s="28">
        <v>0.22405207748570341</v>
      </c>
      <c r="V58" s="27" t="s">
        <v>502</v>
      </c>
    </row>
    <row r="59" spans="1:22" x14ac:dyDescent="0.25">
      <c r="A59" s="27" t="s">
        <v>120</v>
      </c>
      <c r="B59" s="27">
        <v>392</v>
      </c>
      <c r="C59" s="27">
        <v>200</v>
      </c>
      <c r="D59" s="27">
        <v>457</v>
      </c>
      <c r="E59" s="27">
        <v>336</v>
      </c>
      <c r="F59" s="27">
        <v>391</v>
      </c>
      <c r="G59" s="27">
        <v>489</v>
      </c>
      <c r="H59" s="27">
        <v>727</v>
      </c>
      <c r="I59" s="27">
        <v>669</v>
      </c>
      <c r="J59" s="27">
        <v>440</v>
      </c>
      <c r="K59" s="27">
        <v>49</v>
      </c>
      <c r="L59" s="28">
        <v>0.67272727272727273</v>
      </c>
      <c r="M59" s="28">
        <v>0.23068575144781631</v>
      </c>
      <c r="N59" s="28">
        <v>0.34291125215215928</v>
      </c>
      <c r="O59" s="28">
        <v>0.90113636363636362</v>
      </c>
      <c r="P59" s="28">
        <v>0.17022673013672041</v>
      </c>
      <c r="Q59" s="28">
        <v>0.18890229826016891</v>
      </c>
      <c r="R59" s="28">
        <v>1.586363636363636</v>
      </c>
      <c r="S59" s="28">
        <v>0.18855742540364581</v>
      </c>
      <c r="T59" s="28">
        <v>0.1188614142945618</v>
      </c>
      <c r="U59" s="28">
        <v>0.65067496470689001</v>
      </c>
      <c r="V59" s="27" t="s">
        <v>500</v>
      </c>
    </row>
    <row r="60" spans="1:22" x14ac:dyDescent="0.25">
      <c r="A60" s="27" t="s">
        <v>122</v>
      </c>
      <c r="B60" s="27">
        <v>171</v>
      </c>
      <c r="C60" s="27">
        <v>161</v>
      </c>
      <c r="D60" s="27">
        <v>172</v>
      </c>
      <c r="E60" s="27">
        <v>155</v>
      </c>
      <c r="F60" s="27">
        <v>128</v>
      </c>
      <c r="G60" s="27">
        <v>174</v>
      </c>
      <c r="H60" s="27">
        <v>392</v>
      </c>
      <c r="I60" s="27">
        <v>250</v>
      </c>
      <c r="J60" s="27">
        <v>151</v>
      </c>
      <c r="K60" s="27">
        <v>23</v>
      </c>
      <c r="L60" s="28">
        <v>1.0993377483443709</v>
      </c>
      <c r="M60" s="28">
        <v>0.17069136608398811</v>
      </c>
      <c r="N60" s="28">
        <v>0.15526744746194099</v>
      </c>
      <c r="O60" s="28">
        <v>1.082781456953642</v>
      </c>
      <c r="P60" s="28">
        <v>0.1742688393695902</v>
      </c>
      <c r="Q60" s="28">
        <v>0.16094553360738911</v>
      </c>
      <c r="R60" s="28">
        <v>2.125827814569536</v>
      </c>
      <c r="S60" s="28">
        <v>0.57090652702809741</v>
      </c>
      <c r="T60" s="28">
        <v>0.26855727595402712</v>
      </c>
      <c r="U60" s="28">
        <v>0.58477025702335717</v>
      </c>
      <c r="V60" s="27" t="s">
        <v>499</v>
      </c>
    </row>
    <row r="61" spans="1:22" x14ac:dyDescent="0.25">
      <c r="A61" s="27" t="s">
        <v>124</v>
      </c>
      <c r="B61" s="27">
        <v>1802</v>
      </c>
      <c r="C61" s="27">
        <v>1195</v>
      </c>
      <c r="D61" s="27">
        <v>1883</v>
      </c>
      <c r="E61" s="27">
        <v>1546</v>
      </c>
      <c r="F61" s="27">
        <v>1515</v>
      </c>
      <c r="G61" s="27">
        <v>2026</v>
      </c>
      <c r="H61" s="27">
        <v>3021</v>
      </c>
      <c r="I61" s="27">
        <v>2664</v>
      </c>
      <c r="J61" s="27">
        <v>1770.5</v>
      </c>
      <c r="K61" s="27">
        <v>255.5</v>
      </c>
      <c r="L61" s="28">
        <v>0.8463710816153629</v>
      </c>
      <c r="M61" s="28">
        <v>0.21048283131024301</v>
      </c>
      <c r="N61" s="28">
        <v>0.2486885904803372</v>
      </c>
      <c r="O61" s="28">
        <v>0.968370516803163</v>
      </c>
      <c r="P61" s="28">
        <v>0.1690744794916251</v>
      </c>
      <c r="Q61" s="28">
        <v>0.17459688885384789</v>
      </c>
      <c r="R61" s="28">
        <v>1.6054786783394519</v>
      </c>
      <c r="S61" s="28">
        <v>0.25267132926522301</v>
      </c>
      <c r="T61" s="28">
        <v>0.15738068195745911</v>
      </c>
      <c r="U61" s="28">
        <v>0.58066616129164417</v>
      </c>
      <c r="V61" s="27" t="s">
        <v>499</v>
      </c>
    </row>
    <row r="62" spans="1:22" x14ac:dyDescent="0.25">
      <c r="A62" s="27" t="s">
        <v>126</v>
      </c>
      <c r="B62" s="27">
        <v>8</v>
      </c>
      <c r="C62" s="27">
        <v>4</v>
      </c>
      <c r="D62" s="27">
        <v>5</v>
      </c>
      <c r="E62" s="27">
        <v>4</v>
      </c>
      <c r="F62" s="27">
        <v>5</v>
      </c>
      <c r="G62" s="27">
        <v>5</v>
      </c>
      <c r="H62" s="27">
        <v>6</v>
      </c>
      <c r="I62" s="27">
        <v>10</v>
      </c>
      <c r="J62" s="27">
        <v>5</v>
      </c>
      <c r="K62" s="27">
        <v>0</v>
      </c>
      <c r="L62" s="28">
        <v>1.2</v>
      </c>
      <c r="M62" s="28">
        <v>0.4</v>
      </c>
      <c r="N62" s="28">
        <v>0.33333333333333331</v>
      </c>
      <c r="O62" s="28">
        <v>0.9</v>
      </c>
      <c r="P62" s="28">
        <v>9.9999999999999992E-2</v>
      </c>
      <c r="Q62" s="28">
        <v>0.1111111111111111</v>
      </c>
      <c r="R62" s="28">
        <v>1.6</v>
      </c>
      <c r="S62" s="28">
        <v>0.4</v>
      </c>
      <c r="T62" s="28">
        <v>0.25</v>
      </c>
      <c r="U62" s="28">
        <v>0.69444444444444442</v>
      </c>
      <c r="V62" s="27" t="s">
        <v>500</v>
      </c>
    </row>
    <row r="63" spans="1:22" x14ac:dyDescent="0.25">
      <c r="A63" s="27" t="s">
        <v>128</v>
      </c>
      <c r="B63" s="27">
        <v>504</v>
      </c>
      <c r="C63" s="27">
        <v>316</v>
      </c>
      <c r="D63" s="27">
        <v>411</v>
      </c>
      <c r="E63" s="27">
        <v>407</v>
      </c>
      <c r="F63" s="27">
        <v>466</v>
      </c>
      <c r="G63" s="27">
        <v>502</v>
      </c>
      <c r="H63" s="27">
        <v>456</v>
      </c>
      <c r="I63" s="27">
        <v>640</v>
      </c>
      <c r="J63" s="27">
        <v>484</v>
      </c>
      <c r="K63" s="27">
        <v>18</v>
      </c>
      <c r="L63" s="28">
        <v>0.84710743801652888</v>
      </c>
      <c r="M63" s="28">
        <v>0.1967534493042245</v>
      </c>
      <c r="N63" s="28">
        <v>0.23226504747132851</v>
      </c>
      <c r="O63" s="28">
        <v>0.8450413223140496</v>
      </c>
      <c r="P63" s="28">
        <v>3.1697657788659121E-2</v>
      </c>
      <c r="Q63" s="28">
        <v>3.7510186723009813E-2</v>
      </c>
      <c r="R63" s="28">
        <v>1.1322314049586779</v>
      </c>
      <c r="S63" s="28">
        <v>0.19469072110707131</v>
      </c>
      <c r="T63" s="28">
        <v>0.1719531186420119</v>
      </c>
      <c r="U63" s="28">
        <v>0.44172835283635009</v>
      </c>
      <c r="V63" s="27" t="s">
        <v>501</v>
      </c>
    </row>
    <row r="64" spans="1:22" x14ac:dyDescent="0.25">
      <c r="A64" s="27" t="s">
        <v>130</v>
      </c>
      <c r="B64" s="27">
        <v>30</v>
      </c>
      <c r="C64" s="27">
        <v>37</v>
      </c>
      <c r="D64" s="27">
        <v>43</v>
      </c>
      <c r="E64" s="27">
        <v>31</v>
      </c>
      <c r="F64" s="27">
        <v>45</v>
      </c>
      <c r="G64" s="27">
        <v>33</v>
      </c>
      <c r="H64" s="27">
        <v>44</v>
      </c>
      <c r="I64" s="27">
        <v>54</v>
      </c>
      <c r="J64" s="27">
        <v>39</v>
      </c>
      <c r="K64" s="27">
        <v>6</v>
      </c>
      <c r="L64" s="28">
        <v>0.85897435897435892</v>
      </c>
      <c r="M64" s="28">
        <v>0.15974200554327189</v>
      </c>
      <c r="N64" s="28">
        <v>0.185968304960824</v>
      </c>
      <c r="O64" s="28">
        <v>0.94871794871794868</v>
      </c>
      <c r="P64" s="28">
        <v>0.2120659574866369</v>
      </c>
      <c r="Q64" s="28">
        <v>0.2235289822156443</v>
      </c>
      <c r="R64" s="28">
        <v>1.2564102564102559</v>
      </c>
      <c r="S64" s="28">
        <v>0.23194628927630909</v>
      </c>
      <c r="T64" s="28">
        <v>0.18461031187298069</v>
      </c>
      <c r="U64" s="28">
        <v>0.59410759904944899</v>
      </c>
      <c r="V64" s="27" t="s">
        <v>499</v>
      </c>
    </row>
    <row r="65" spans="1:22" x14ac:dyDescent="0.25">
      <c r="A65" s="27" t="s">
        <v>132</v>
      </c>
      <c r="B65" s="27">
        <v>27</v>
      </c>
      <c r="C65" s="27">
        <v>16</v>
      </c>
      <c r="D65" s="27">
        <v>20</v>
      </c>
      <c r="E65" s="27">
        <v>24</v>
      </c>
      <c r="F65" s="27">
        <v>32</v>
      </c>
      <c r="G65" s="27">
        <v>25</v>
      </c>
      <c r="H65" s="27">
        <v>33</v>
      </c>
      <c r="I65" s="27">
        <v>37</v>
      </c>
      <c r="J65" s="27">
        <v>28.5</v>
      </c>
      <c r="K65" s="27">
        <v>3.5</v>
      </c>
      <c r="L65" s="28">
        <v>0.75438596491228072</v>
      </c>
      <c r="M65" s="28">
        <v>0.2140680237951598</v>
      </c>
      <c r="N65" s="28">
        <v>0.283764589681956</v>
      </c>
      <c r="O65" s="28">
        <v>0.77192982456140347</v>
      </c>
      <c r="P65" s="28">
        <v>0.11794629596304081</v>
      </c>
      <c r="Q65" s="28">
        <v>0.15279406522484831</v>
      </c>
      <c r="R65" s="28">
        <v>1.228070175438597</v>
      </c>
      <c r="S65" s="28">
        <v>0.16634286314015129</v>
      </c>
      <c r="T65" s="28">
        <v>0.13545061712840889</v>
      </c>
      <c r="U65" s="28">
        <v>0.57200927203521323</v>
      </c>
      <c r="V65" s="27" t="s">
        <v>499</v>
      </c>
    </row>
    <row r="66" spans="1:22" x14ac:dyDescent="0.25">
      <c r="A66" s="27" t="s">
        <v>134</v>
      </c>
      <c r="B66" s="27">
        <v>1269</v>
      </c>
      <c r="C66" s="27">
        <v>944</v>
      </c>
      <c r="D66" s="27">
        <v>1240</v>
      </c>
      <c r="E66" s="27">
        <v>1184</v>
      </c>
      <c r="F66" s="27">
        <v>1180</v>
      </c>
      <c r="G66" s="27">
        <v>1429</v>
      </c>
      <c r="H66" s="27">
        <v>2007</v>
      </c>
      <c r="I66" s="27">
        <v>1982</v>
      </c>
      <c r="J66" s="27">
        <v>1304.5</v>
      </c>
      <c r="K66" s="27">
        <v>124.5</v>
      </c>
      <c r="L66" s="28">
        <v>0.84821770793407436</v>
      </c>
      <c r="M66" s="28">
        <v>0.14856232298402311</v>
      </c>
      <c r="N66" s="28">
        <v>0.175146453079673</v>
      </c>
      <c r="O66" s="28">
        <v>0.9290916059793024</v>
      </c>
      <c r="P66" s="28">
        <v>9.1232319397630157E-2</v>
      </c>
      <c r="Q66" s="28">
        <v>9.8195182057927835E-2</v>
      </c>
      <c r="R66" s="28">
        <v>1.5289382905327711</v>
      </c>
      <c r="S66" s="28">
        <v>0.14623441759225311</v>
      </c>
      <c r="T66" s="28">
        <v>9.5644421032386129E-2</v>
      </c>
      <c r="U66" s="28">
        <v>0.36898605616998698</v>
      </c>
      <c r="V66" s="27" t="s">
        <v>501</v>
      </c>
    </row>
    <row r="67" spans="1:22" x14ac:dyDescent="0.25">
      <c r="A67" s="27" t="s">
        <v>136</v>
      </c>
      <c r="B67" s="27">
        <v>17</v>
      </c>
      <c r="C67" s="27">
        <v>8</v>
      </c>
      <c r="D67" s="27">
        <v>15</v>
      </c>
      <c r="E67" s="27">
        <v>13</v>
      </c>
      <c r="F67" s="27">
        <v>7</v>
      </c>
      <c r="G67" s="27">
        <v>11</v>
      </c>
      <c r="H67" s="27">
        <v>20</v>
      </c>
      <c r="I67" s="27">
        <v>29</v>
      </c>
      <c r="J67" s="27">
        <v>9</v>
      </c>
      <c r="K67" s="27">
        <v>2</v>
      </c>
      <c r="L67" s="28">
        <v>1.3888888888888891</v>
      </c>
      <c r="M67" s="28">
        <v>0.58758817969937105</v>
      </c>
      <c r="N67" s="28">
        <v>0.42306348938354721</v>
      </c>
      <c r="O67" s="28">
        <v>1.555555555555556</v>
      </c>
      <c r="P67" s="28">
        <v>0.36309731283587021</v>
      </c>
      <c r="Q67" s="28">
        <v>0.23341970110877369</v>
      </c>
      <c r="R67" s="28">
        <v>2.7222222222222219</v>
      </c>
      <c r="S67" s="28">
        <v>0.78482502027673029</v>
      </c>
      <c r="T67" s="28">
        <v>0.28830306867308458</v>
      </c>
      <c r="U67" s="28">
        <v>0.94478625916540548</v>
      </c>
      <c r="V67" s="27" t="s">
        <v>500</v>
      </c>
    </row>
    <row r="68" spans="1:22" x14ac:dyDescent="0.25">
      <c r="A68" s="27" t="s">
        <v>138</v>
      </c>
      <c r="B68" s="27">
        <v>40</v>
      </c>
      <c r="C68" s="27">
        <v>15</v>
      </c>
      <c r="D68" s="27">
        <v>38</v>
      </c>
      <c r="E68" s="27">
        <v>20</v>
      </c>
      <c r="F68" s="27">
        <v>24</v>
      </c>
      <c r="G68" s="27">
        <v>29</v>
      </c>
      <c r="H68" s="27">
        <v>58</v>
      </c>
      <c r="I68" s="27">
        <v>38</v>
      </c>
      <c r="J68" s="27">
        <v>26.5</v>
      </c>
      <c r="K68" s="27">
        <v>2.5</v>
      </c>
      <c r="L68" s="28">
        <v>1.037735849056604</v>
      </c>
      <c r="M68" s="28">
        <v>0.48175039525540608</v>
      </c>
      <c r="N68" s="28">
        <v>0.46423219906430041</v>
      </c>
      <c r="O68" s="28">
        <v>1.094339622641509</v>
      </c>
      <c r="P68" s="28">
        <v>0.35496753507662693</v>
      </c>
      <c r="Q68" s="28">
        <v>0.32436688550105558</v>
      </c>
      <c r="R68" s="28">
        <v>1.811320754716981</v>
      </c>
      <c r="S68" s="28">
        <v>0.41424530317661401</v>
      </c>
      <c r="T68" s="28">
        <v>0.22869792779542231</v>
      </c>
      <c r="U68" s="28">
        <v>1.0172970123607781</v>
      </c>
      <c r="V68" s="27" t="s">
        <v>500</v>
      </c>
    </row>
    <row r="69" spans="1:22" x14ac:dyDescent="0.25">
      <c r="A69" s="27" t="s">
        <v>140</v>
      </c>
      <c r="B69" s="27">
        <v>521</v>
      </c>
      <c r="C69" s="27">
        <v>334</v>
      </c>
      <c r="D69" s="27">
        <v>425</v>
      </c>
      <c r="E69" s="27">
        <v>392</v>
      </c>
      <c r="F69" s="27">
        <v>398</v>
      </c>
      <c r="G69" s="27">
        <v>437</v>
      </c>
      <c r="H69" s="27">
        <v>535</v>
      </c>
      <c r="I69" s="27">
        <v>646</v>
      </c>
      <c r="J69" s="27">
        <v>417.5</v>
      </c>
      <c r="K69" s="27">
        <v>19.5</v>
      </c>
      <c r="L69" s="28">
        <v>1.023952095808383</v>
      </c>
      <c r="M69" s="28">
        <v>0.22900174945065721</v>
      </c>
      <c r="N69" s="28">
        <v>0.22364498338163599</v>
      </c>
      <c r="O69" s="28">
        <v>0.97844311377245508</v>
      </c>
      <c r="P69" s="28">
        <v>6.0418310170053197E-2</v>
      </c>
      <c r="Q69" s="28">
        <v>6.1749435730715327E-2</v>
      </c>
      <c r="R69" s="28">
        <v>1.41437125748503</v>
      </c>
      <c r="S69" s="28">
        <v>0.1484434806774019</v>
      </c>
      <c r="T69" s="28">
        <v>0.1049536887092553</v>
      </c>
      <c r="U69" s="28">
        <v>0.39034810782160673</v>
      </c>
      <c r="V69" s="27" t="s">
        <v>501</v>
      </c>
    </row>
    <row r="70" spans="1:22" x14ac:dyDescent="0.25">
      <c r="A70" s="27" t="s">
        <v>142</v>
      </c>
      <c r="B70" s="27">
        <v>56</v>
      </c>
      <c r="C70" s="27">
        <v>47</v>
      </c>
      <c r="D70" s="27">
        <v>51</v>
      </c>
      <c r="E70" s="27">
        <v>44</v>
      </c>
      <c r="F70" s="27">
        <v>51</v>
      </c>
      <c r="G70" s="27">
        <v>52</v>
      </c>
      <c r="H70" s="27">
        <v>95</v>
      </c>
      <c r="I70" s="27">
        <v>79</v>
      </c>
      <c r="J70" s="27">
        <v>51.5</v>
      </c>
      <c r="K70" s="27">
        <v>0.5</v>
      </c>
      <c r="L70" s="28">
        <v>1</v>
      </c>
      <c r="M70" s="28">
        <v>8.7916360564440937E-2</v>
      </c>
      <c r="N70" s="28">
        <v>8.7916360564440937E-2</v>
      </c>
      <c r="O70" s="28">
        <v>0.92233009708737868</v>
      </c>
      <c r="P70" s="28">
        <v>6.8548566074206008E-2</v>
      </c>
      <c r="Q70" s="28">
        <v>7.4321076901507563E-2</v>
      </c>
      <c r="R70" s="28">
        <v>1.689320388349514</v>
      </c>
      <c r="S70" s="28">
        <v>0.156203244564417</v>
      </c>
      <c r="T70" s="28">
        <v>9.2465139023764076E-2</v>
      </c>
      <c r="U70" s="28">
        <v>0.25470257648971262</v>
      </c>
      <c r="V70" s="27" t="s">
        <v>502</v>
      </c>
    </row>
    <row r="71" spans="1:22" x14ac:dyDescent="0.25">
      <c r="A71" s="27" t="s">
        <v>144</v>
      </c>
      <c r="B71" s="27">
        <v>13</v>
      </c>
      <c r="C71" s="27">
        <v>6</v>
      </c>
      <c r="D71" s="27">
        <v>9</v>
      </c>
      <c r="E71" s="27">
        <v>6</v>
      </c>
      <c r="F71" s="27">
        <v>11</v>
      </c>
      <c r="G71" s="27">
        <v>6</v>
      </c>
      <c r="H71" s="27">
        <v>10</v>
      </c>
      <c r="I71" s="27">
        <v>18</v>
      </c>
      <c r="J71" s="27">
        <v>8.5</v>
      </c>
      <c r="K71" s="27">
        <v>2.5</v>
      </c>
      <c r="L71" s="28">
        <v>1.117647058823529</v>
      </c>
      <c r="M71" s="28">
        <v>0.52688407588400865</v>
      </c>
      <c r="N71" s="28">
        <v>0.47142259421200772</v>
      </c>
      <c r="O71" s="28">
        <v>0.88235294117647056</v>
      </c>
      <c r="P71" s="28">
        <v>0.31383148355358431</v>
      </c>
      <c r="Q71" s="28">
        <v>0.35567568136072891</v>
      </c>
      <c r="R71" s="28">
        <v>1.6470588235294119</v>
      </c>
      <c r="S71" s="28">
        <v>0.67537012588267686</v>
      </c>
      <c r="T71" s="28">
        <v>0.41004614785733962</v>
      </c>
      <c r="U71" s="28">
        <v>1.2371444234300759</v>
      </c>
      <c r="V71" s="27" t="s">
        <v>500</v>
      </c>
    </row>
    <row r="72" spans="1:22" x14ac:dyDescent="0.25">
      <c r="A72" s="27" t="s">
        <v>146</v>
      </c>
      <c r="B72" s="27">
        <v>213</v>
      </c>
      <c r="C72" s="27">
        <v>106</v>
      </c>
      <c r="D72" s="27">
        <v>191</v>
      </c>
      <c r="E72" s="27">
        <v>221</v>
      </c>
      <c r="F72" s="27">
        <v>230</v>
      </c>
      <c r="G72" s="27">
        <v>224</v>
      </c>
      <c r="H72" s="27">
        <v>236</v>
      </c>
      <c r="I72" s="27">
        <v>296</v>
      </c>
      <c r="J72" s="27">
        <v>227</v>
      </c>
      <c r="K72" s="27">
        <v>3</v>
      </c>
      <c r="L72" s="28">
        <v>0.70264317180616742</v>
      </c>
      <c r="M72" s="28">
        <v>0.23586568585387149</v>
      </c>
      <c r="N72" s="28">
        <v>0.33568345259453808</v>
      </c>
      <c r="O72" s="28">
        <v>0.90748898678414092</v>
      </c>
      <c r="P72" s="28">
        <v>6.7158850572328913E-2</v>
      </c>
      <c r="Q72" s="28">
        <v>7.4005141164653704E-2</v>
      </c>
      <c r="R72" s="28">
        <v>1.1718061674008811</v>
      </c>
      <c r="S72" s="28">
        <v>0.1330628511466963</v>
      </c>
      <c r="T72" s="28">
        <v>0.1135536361289476</v>
      </c>
      <c r="U72" s="28">
        <v>0.52324222988813951</v>
      </c>
      <c r="V72" s="27" t="s">
        <v>498</v>
      </c>
    </row>
    <row r="73" spans="1:22" x14ac:dyDescent="0.25">
      <c r="A73" s="27" t="s">
        <v>148</v>
      </c>
      <c r="B73" s="27">
        <v>68</v>
      </c>
      <c r="C73" s="27">
        <v>46</v>
      </c>
      <c r="D73" s="27">
        <v>79</v>
      </c>
      <c r="E73" s="27">
        <v>56</v>
      </c>
      <c r="F73" s="27">
        <v>54</v>
      </c>
      <c r="G73" s="27">
        <v>64</v>
      </c>
      <c r="H73" s="27">
        <v>142</v>
      </c>
      <c r="I73" s="27">
        <v>90</v>
      </c>
      <c r="J73" s="27">
        <v>59</v>
      </c>
      <c r="K73" s="27">
        <v>5</v>
      </c>
      <c r="L73" s="28">
        <v>0.96610169491525422</v>
      </c>
      <c r="M73" s="28">
        <v>0.203625437069965</v>
      </c>
      <c r="N73" s="28">
        <v>0.21077018924785851</v>
      </c>
      <c r="O73" s="28">
        <v>1.14406779661017</v>
      </c>
      <c r="P73" s="28">
        <v>0.2176975162559987</v>
      </c>
      <c r="Q73" s="28">
        <v>0.19028375494968769</v>
      </c>
      <c r="R73" s="28">
        <v>1.9661016949152541</v>
      </c>
      <c r="S73" s="28">
        <v>0.4711251322352743</v>
      </c>
      <c r="T73" s="28">
        <v>0.23962398967138951</v>
      </c>
      <c r="U73" s="28">
        <v>0.64067793386893568</v>
      </c>
      <c r="V73" s="27" t="s">
        <v>499</v>
      </c>
    </row>
    <row r="74" spans="1:22" x14ac:dyDescent="0.25">
      <c r="A74" s="27" t="s">
        <v>150</v>
      </c>
      <c r="B74" s="27">
        <v>11</v>
      </c>
      <c r="C74" s="27">
        <v>10</v>
      </c>
      <c r="D74" s="27">
        <v>17</v>
      </c>
      <c r="E74" s="27">
        <v>14</v>
      </c>
      <c r="F74" s="27">
        <v>8</v>
      </c>
      <c r="G74" s="27">
        <v>13</v>
      </c>
      <c r="H74" s="27">
        <v>12</v>
      </c>
      <c r="I74" s="27">
        <v>19</v>
      </c>
      <c r="J74" s="27">
        <v>10.5</v>
      </c>
      <c r="K74" s="27">
        <v>2.5</v>
      </c>
      <c r="L74" s="28">
        <v>1</v>
      </c>
      <c r="M74" s="28">
        <v>0.24281045302822779</v>
      </c>
      <c r="N74" s="28">
        <v>0.24281045302822779</v>
      </c>
      <c r="O74" s="28">
        <v>1.4761904761904761</v>
      </c>
      <c r="P74" s="28">
        <v>0.37939699754449119</v>
      </c>
      <c r="Q74" s="28">
        <v>0.25701086930433281</v>
      </c>
      <c r="R74" s="28">
        <v>1.4761904761904761</v>
      </c>
      <c r="S74" s="28">
        <v>0.48440172335735932</v>
      </c>
      <c r="T74" s="28">
        <v>0.32814310291950138</v>
      </c>
      <c r="U74" s="28">
        <v>0.82796442525206204</v>
      </c>
      <c r="V74" s="27" t="s">
        <v>500</v>
      </c>
    </row>
    <row r="75" spans="1:22" x14ac:dyDescent="0.25">
      <c r="A75" s="27" t="s">
        <v>152</v>
      </c>
      <c r="B75" s="27">
        <v>894</v>
      </c>
      <c r="C75" s="27">
        <v>567</v>
      </c>
      <c r="D75" s="27">
        <v>975</v>
      </c>
      <c r="E75" s="27">
        <v>869</v>
      </c>
      <c r="F75" s="27">
        <v>907</v>
      </c>
      <c r="G75" s="27">
        <v>991</v>
      </c>
      <c r="H75" s="27">
        <v>1384</v>
      </c>
      <c r="I75" s="27">
        <v>1376</v>
      </c>
      <c r="J75" s="27">
        <v>949</v>
      </c>
      <c r="K75" s="27">
        <v>42</v>
      </c>
      <c r="L75" s="28">
        <v>0.76975763962065336</v>
      </c>
      <c r="M75" s="28">
        <v>0.17562248185673229</v>
      </c>
      <c r="N75" s="28">
        <v>0.22815295726494039</v>
      </c>
      <c r="O75" s="28">
        <v>0.97154899894625923</v>
      </c>
      <c r="P75" s="28">
        <v>7.0482993027755278E-2</v>
      </c>
      <c r="Q75" s="28">
        <v>7.2547028615335962E-2</v>
      </c>
      <c r="R75" s="28">
        <v>1.4541622760800841</v>
      </c>
      <c r="S75" s="28">
        <v>6.4494902339113369E-2</v>
      </c>
      <c r="T75" s="28">
        <v>4.4351929217259847E-2</v>
      </c>
      <c r="U75" s="28">
        <v>0.34505191509753619</v>
      </c>
      <c r="V75" s="27" t="s">
        <v>501</v>
      </c>
    </row>
    <row r="76" spans="1:22" x14ac:dyDescent="0.25">
      <c r="A76" s="27" t="s">
        <v>154</v>
      </c>
      <c r="B76" s="27">
        <v>296</v>
      </c>
      <c r="C76" s="27">
        <v>222</v>
      </c>
      <c r="D76" s="27">
        <v>357</v>
      </c>
      <c r="E76" s="27">
        <v>315</v>
      </c>
      <c r="F76" s="27">
        <v>343</v>
      </c>
      <c r="G76" s="27">
        <v>363</v>
      </c>
      <c r="H76" s="27">
        <v>444</v>
      </c>
      <c r="I76" s="27">
        <v>502</v>
      </c>
      <c r="J76" s="27">
        <v>353</v>
      </c>
      <c r="K76" s="27">
        <v>10</v>
      </c>
      <c r="L76" s="28">
        <v>0.73371104815864019</v>
      </c>
      <c r="M76" s="28">
        <v>0.1068568304851889</v>
      </c>
      <c r="N76" s="28">
        <v>0.1456388461825161</v>
      </c>
      <c r="O76" s="28">
        <v>0.95184135977337114</v>
      </c>
      <c r="P76" s="28">
        <v>6.5315741473949765E-2</v>
      </c>
      <c r="Q76" s="28">
        <v>6.8620406965191269E-2</v>
      </c>
      <c r="R76" s="28">
        <v>1.339943342776204</v>
      </c>
      <c r="S76" s="28">
        <v>9.0498490467179407E-2</v>
      </c>
      <c r="T76" s="28">
        <v>6.7539042568529245E-2</v>
      </c>
      <c r="U76" s="28">
        <v>0.2817982957162366</v>
      </c>
      <c r="V76" s="27" t="s">
        <v>502</v>
      </c>
    </row>
    <row r="77" spans="1:22" x14ac:dyDescent="0.25">
      <c r="A77" s="27" t="s">
        <v>156</v>
      </c>
      <c r="B77" s="27">
        <v>45</v>
      </c>
      <c r="C77" s="27">
        <v>49</v>
      </c>
      <c r="D77" s="27">
        <v>64</v>
      </c>
      <c r="E77" s="27">
        <v>48</v>
      </c>
      <c r="F77" s="27">
        <v>32</v>
      </c>
      <c r="G77" s="27">
        <v>58</v>
      </c>
      <c r="H77" s="27">
        <v>81</v>
      </c>
      <c r="I77" s="27">
        <v>94</v>
      </c>
      <c r="J77" s="27">
        <v>45</v>
      </c>
      <c r="K77" s="27">
        <v>13</v>
      </c>
      <c r="L77" s="28">
        <v>1.044444444444445</v>
      </c>
      <c r="M77" s="28">
        <v>0.3049841520940092</v>
      </c>
      <c r="N77" s="28">
        <v>0.2920061030687322</v>
      </c>
      <c r="O77" s="28">
        <v>1.244444444444444</v>
      </c>
      <c r="P77" s="28">
        <v>0.40106062706443002</v>
      </c>
      <c r="Q77" s="28">
        <v>0.32228086103391701</v>
      </c>
      <c r="R77" s="28">
        <v>1.944444444444444</v>
      </c>
      <c r="S77" s="28">
        <v>0.58000257529556665</v>
      </c>
      <c r="T77" s="28">
        <v>0.29828703872343432</v>
      </c>
      <c r="U77" s="28">
        <v>0.91257400282608336</v>
      </c>
      <c r="V77" s="27" t="s">
        <v>500</v>
      </c>
    </row>
    <row r="78" spans="1:22" x14ac:dyDescent="0.25">
      <c r="A78" s="27" t="s">
        <v>158</v>
      </c>
      <c r="B78" s="27">
        <v>162</v>
      </c>
      <c r="C78" s="27">
        <v>92</v>
      </c>
      <c r="D78" s="27">
        <v>174</v>
      </c>
      <c r="E78" s="27">
        <v>175</v>
      </c>
      <c r="F78" s="27">
        <v>191</v>
      </c>
      <c r="G78" s="27">
        <v>178</v>
      </c>
      <c r="H78" s="27">
        <v>332</v>
      </c>
      <c r="I78" s="27">
        <v>286</v>
      </c>
      <c r="J78" s="27">
        <v>184.5</v>
      </c>
      <c r="K78" s="27">
        <v>6.5</v>
      </c>
      <c r="L78" s="28">
        <v>0.68834688346883466</v>
      </c>
      <c r="M78" s="28">
        <v>0.19124567011792709</v>
      </c>
      <c r="N78" s="28">
        <v>0.27783327666738222</v>
      </c>
      <c r="O78" s="28">
        <v>0.94579945799457998</v>
      </c>
      <c r="P78" s="28">
        <v>3.3430871449841318E-2</v>
      </c>
      <c r="Q78" s="28">
        <v>3.5346680701981222E-2</v>
      </c>
      <c r="R78" s="28">
        <v>1.6747967479674799</v>
      </c>
      <c r="S78" s="28">
        <v>0.13791976144737161</v>
      </c>
      <c r="T78" s="28">
        <v>8.2350148825372338E-2</v>
      </c>
      <c r="U78" s="28">
        <v>0.39553010619473578</v>
      </c>
      <c r="V78" s="27" t="s">
        <v>501</v>
      </c>
    </row>
    <row r="79" spans="1:22" x14ac:dyDescent="0.25">
      <c r="A79" s="27" t="s">
        <v>160</v>
      </c>
      <c r="B79" s="27">
        <v>478</v>
      </c>
      <c r="C79" s="27">
        <v>329</v>
      </c>
      <c r="D79" s="27">
        <v>413</v>
      </c>
      <c r="E79" s="27">
        <v>408</v>
      </c>
      <c r="F79" s="27">
        <v>459</v>
      </c>
      <c r="G79" s="27">
        <v>483</v>
      </c>
      <c r="H79" s="27">
        <v>501</v>
      </c>
      <c r="I79" s="27">
        <v>622</v>
      </c>
      <c r="J79" s="27">
        <v>471</v>
      </c>
      <c r="K79" s="27">
        <v>12</v>
      </c>
      <c r="L79" s="28">
        <v>0.85668789808917201</v>
      </c>
      <c r="M79" s="28">
        <v>0.1596729119090767</v>
      </c>
      <c r="N79" s="28">
        <v>0.186383993826952</v>
      </c>
      <c r="O79" s="28">
        <v>0.8715498938428875</v>
      </c>
      <c r="P79" s="28">
        <v>2.2830669706321059E-2</v>
      </c>
      <c r="Q79" s="28">
        <v>2.619548217217349E-2</v>
      </c>
      <c r="R79" s="28">
        <v>1.1921443736730359</v>
      </c>
      <c r="S79" s="28">
        <v>0.13199225463209791</v>
      </c>
      <c r="T79" s="28">
        <v>0.11071834716245441</v>
      </c>
      <c r="U79" s="28">
        <v>0.32329782316157979</v>
      </c>
      <c r="V79" s="27" t="s">
        <v>501</v>
      </c>
    </row>
    <row r="80" spans="1:22" x14ac:dyDescent="0.25">
      <c r="A80" s="27" t="s">
        <v>162</v>
      </c>
      <c r="B80" s="27">
        <v>70</v>
      </c>
      <c r="C80" s="27">
        <v>68</v>
      </c>
      <c r="D80" s="27">
        <v>71</v>
      </c>
      <c r="E80" s="27">
        <v>78</v>
      </c>
      <c r="F80" s="27">
        <v>70</v>
      </c>
      <c r="G80" s="27">
        <v>92</v>
      </c>
      <c r="H80" s="27">
        <v>108</v>
      </c>
      <c r="I80" s="27">
        <v>117</v>
      </c>
      <c r="J80" s="27">
        <v>81</v>
      </c>
      <c r="K80" s="27">
        <v>11</v>
      </c>
      <c r="L80" s="28">
        <v>0.85185185185185186</v>
      </c>
      <c r="M80" s="28">
        <v>0.11634048129065069</v>
      </c>
      <c r="N80" s="28">
        <v>0.13657360847163341</v>
      </c>
      <c r="O80" s="28">
        <v>0.91975308641975306</v>
      </c>
      <c r="P80" s="28">
        <v>0.13216764936281289</v>
      </c>
      <c r="Q80" s="28">
        <v>0.1436990550119174</v>
      </c>
      <c r="R80" s="28">
        <v>1.3888888888888891</v>
      </c>
      <c r="S80" s="28">
        <v>0.19662620534515421</v>
      </c>
      <c r="T80" s="28">
        <v>0.14157086784851111</v>
      </c>
      <c r="U80" s="28">
        <v>0.42184353133206193</v>
      </c>
      <c r="V80" s="27" t="s">
        <v>501</v>
      </c>
    </row>
    <row r="81" spans="1:22" x14ac:dyDescent="0.25">
      <c r="A81" s="27" t="s">
        <v>164</v>
      </c>
      <c r="B81" s="27">
        <v>964</v>
      </c>
      <c r="C81" s="27">
        <v>681</v>
      </c>
      <c r="D81" s="27">
        <v>1052</v>
      </c>
      <c r="E81" s="27">
        <v>848</v>
      </c>
      <c r="F81" s="27">
        <v>914</v>
      </c>
      <c r="G81" s="27">
        <v>998</v>
      </c>
      <c r="H81" s="27">
        <v>1626</v>
      </c>
      <c r="I81" s="27">
        <v>1397</v>
      </c>
      <c r="J81" s="27">
        <v>956</v>
      </c>
      <c r="K81" s="27">
        <v>42</v>
      </c>
      <c r="L81" s="28">
        <v>0.8603556485355649</v>
      </c>
      <c r="M81" s="28">
        <v>0.15276258814344501</v>
      </c>
      <c r="N81" s="28">
        <v>0.17755748846824729</v>
      </c>
      <c r="O81" s="28">
        <v>0.99372384937238489</v>
      </c>
      <c r="P81" s="28">
        <v>0.11528092300490581</v>
      </c>
      <c r="Q81" s="28">
        <v>0.1160090130449368</v>
      </c>
      <c r="R81" s="28">
        <v>1.581066945606695</v>
      </c>
      <c r="S81" s="28">
        <v>0.13845456750221211</v>
      </c>
      <c r="T81" s="28">
        <v>8.7570338426804326E-2</v>
      </c>
      <c r="U81" s="28">
        <v>0.38113683993998848</v>
      </c>
      <c r="V81" s="27" t="s">
        <v>501</v>
      </c>
    </row>
    <row r="82" spans="1:22" x14ac:dyDescent="0.25">
      <c r="A82" s="27" t="s">
        <v>166</v>
      </c>
      <c r="B82" s="27">
        <v>19</v>
      </c>
      <c r="C82" s="27">
        <v>20</v>
      </c>
      <c r="D82" s="27">
        <v>28</v>
      </c>
      <c r="E82" s="27">
        <v>26</v>
      </c>
      <c r="F82" s="27">
        <v>34</v>
      </c>
      <c r="G82" s="27">
        <v>20</v>
      </c>
      <c r="H82" s="27">
        <v>26</v>
      </c>
      <c r="I82" s="27">
        <v>44</v>
      </c>
      <c r="J82" s="27">
        <v>27</v>
      </c>
      <c r="K82" s="27">
        <v>7</v>
      </c>
      <c r="L82" s="28">
        <v>0.72222222222222221</v>
      </c>
      <c r="M82" s="28">
        <v>0.18815632081735531</v>
      </c>
      <c r="N82" s="28">
        <v>0.26052413651633799</v>
      </c>
      <c r="O82" s="28">
        <v>1</v>
      </c>
      <c r="P82" s="28">
        <v>0.26189140043946202</v>
      </c>
      <c r="Q82" s="28">
        <v>0.26189140043946202</v>
      </c>
      <c r="R82" s="28">
        <v>1.2962962962962961</v>
      </c>
      <c r="S82" s="28">
        <v>0.47334843235319302</v>
      </c>
      <c r="T82" s="28">
        <v>0.36515450495817742</v>
      </c>
      <c r="U82" s="28">
        <v>0.88757004191397759</v>
      </c>
      <c r="V82" s="27" t="s">
        <v>500</v>
      </c>
    </row>
    <row r="83" spans="1:22" x14ac:dyDescent="0.25">
      <c r="A83" s="27" t="s">
        <v>168</v>
      </c>
      <c r="B83" s="27">
        <v>1048</v>
      </c>
      <c r="C83" s="27">
        <v>594</v>
      </c>
      <c r="D83" s="27">
        <v>1050</v>
      </c>
      <c r="E83" s="27">
        <v>992</v>
      </c>
      <c r="F83" s="27">
        <v>904</v>
      </c>
      <c r="G83" s="27">
        <v>1137</v>
      </c>
      <c r="H83" s="27">
        <v>1362</v>
      </c>
      <c r="I83" s="27">
        <v>1267</v>
      </c>
      <c r="J83" s="27">
        <v>1020.5</v>
      </c>
      <c r="K83" s="27">
        <v>116.5</v>
      </c>
      <c r="L83" s="28">
        <v>0.80450759431651153</v>
      </c>
      <c r="M83" s="28">
        <v>0.2406544516851726</v>
      </c>
      <c r="N83" s="28">
        <v>0.29913260407395692</v>
      </c>
      <c r="O83" s="28">
        <v>1.0004899559039691</v>
      </c>
      <c r="P83" s="28">
        <v>0.1176977814669504</v>
      </c>
      <c r="Q83" s="28">
        <v>0.11764014298435151</v>
      </c>
      <c r="R83" s="28">
        <v>1.288094071533562</v>
      </c>
      <c r="S83" s="28">
        <v>0.15423930692252599</v>
      </c>
      <c r="T83" s="28">
        <v>0.11974226908667759</v>
      </c>
      <c r="U83" s="28">
        <v>0.53651501614498609</v>
      </c>
      <c r="V83" s="27" t="s">
        <v>498</v>
      </c>
    </row>
    <row r="84" spans="1:22" x14ac:dyDescent="0.25">
      <c r="A84" s="27" t="s">
        <v>170</v>
      </c>
      <c r="B84" s="27">
        <v>1356</v>
      </c>
      <c r="C84" s="27">
        <v>1063</v>
      </c>
      <c r="D84" s="27">
        <v>1079</v>
      </c>
      <c r="E84" s="27">
        <v>1010</v>
      </c>
      <c r="F84" s="27">
        <v>988</v>
      </c>
      <c r="G84" s="27">
        <v>1080</v>
      </c>
      <c r="H84" s="27">
        <v>1447</v>
      </c>
      <c r="I84" s="27">
        <v>1801</v>
      </c>
      <c r="J84" s="27">
        <v>1034</v>
      </c>
      <c r="K84" s="27">
        <v>46</v>
      </c>
      <c r="L84" s="28">
        <v>1.169729206963249</v>
      </c>
      <c r="M84" s="28">
        <v>0.1509370412153295</v>
      </c>
      <c r="N84" s="28">
        <v>0.12903588310595351</v>
      </c>
      <c r="O84" s="28">
        <v>1.0101547388781431</v>
      </c>
      <c r="P84" s="28">
        <v>5.5971347228814673E-2</v>
      </c>
      <c r="Q84" s="28">
        <v>5.5408686485968757E-2</v>
      </c>
      <c r="R84" s="28">
        <v>1.5705996131528051</v>
      </c>
      <c r="S84" s="28">
        <v>0.18489088717293631</v>
      </c>
      <c r="T84" s="28">
        <v>0.1177199367837538</v>
      </c>
      <c r="U84" s="28">
        <v>0.30216450637567588</v>
      </c>
      <c r="V84" s="27" t="s">
        <v>501</v>
      </c>
    </row>
    <row r="85" spans="1:22" x14ac:dyDescent="0.25">
      <c r="A85" s="27" t="s">
        <v>172</v>
      </c>
      <c r="B85" s="27">
        <v>6</v>
      </c>
      <c r="C85" s="27">
        <v>10</v>
      </c>
      <c r="D85" s="27">
        <v>10</v>
      </c>
      <c r="E85" s="27">
        <v>3</v>
      </c>
      <c r="F85" s="27">
        <v>8</v>
      </c>
      <c r="G85" s="27">
        <v>7</v>
      </c>
      <c r="H85" s="27">
        <v>9</v>
      </c>
      <c r="I85" s="27">
        <v>11</v>
      </c>
      <c r="J85" s="27">
        <v>7.5</v>
      </c>
      <c r="K85" s="27">
        <v>0.5</v>
      </c>
      <c r="L85" s="28">
        <v>1.0666666666666671</v>
      </c>
      <c r="M85" s="28">
        <v>0.27598532793351149</v>
      </c>
      <c r="N85" s="28">
        <v>0.25873624493766711</v>
      </c>
      <c r="O85" s="28">
        <v>0.8666666666666667</v>
      </c>
      <c r="P85" s="28">
        <v>0.47022978359810008</v>
      </c>
      <c r="Q85" s="28">
        <v>0.54257282722857703</v>
      </c>
      <c r="R85" s="28">
        <v>1.333333333333333</v>
      </c>
      <c r="S85" s="28">
        <v>0.1602467233539551</v>
      </c>
      <c r="T85" s="28">
        <v>0.1201850425154663</v>
      </c>
      <c r="U85" s="28">
        <v>0.9214941146817105</v>
      </c>
      <c r="V85" s="27" t="s">
        <v>500</v>
      </c>
    </row>
    <row r="86" spans="1:22" x14ac:dyDescent="0.25">
      <c r="A86" s="27" t="s">
        <v>174</v>
      </c>
      <c r="B86" s="27">
        <v>119</v>
      </c>
      <c r="C86" s="27">
        <v>69</v>
      </c>
      <c r="D86" s="27">
        <v>98</v>
      </c>
      <c r="E86" s="27">
        <v>87</v>
      </c>
      <c r="F86" s="27">
        <v>99</v>
      </c>
      <c r="G86" s="27">
        <v>103</v>
      </c>
      <c r="H86" s="27">
        <v>123</v>
      </c>
      <c r="I86" s="27">
        <v>105</v>
      </c>
      <c r="J86" s="27">
        <v>101</v>
      </c>
      <c r="K86" s="27">
        <v>2</v>
      </c>
      <c r="L86" s="28">
        <v>0.93069306930693074</v>
      </c>
      <c r="M86" s="28">
        <v>0.24820989501002291</v>
      </c>
      <c r="N86" s="28">
        <v>0.2666936105958756</v>
      </c>
      <c r="O86" s="28">
        <v>0.91584158415841588</v>
      </c>
      <c r="P86" s="28">
        <v>5.7395915119067317E-2</v>
      </c>
      <c r="Q86" s="28">
        <v>6.2670134346224857E-2</v>
      </c>
      <c r="R86" s="28">
        <v>1.128712871287129</v>
      </c>
      <c r="S86" s="28">
        <v>9.1869222389612093E-2</v>
      </c>
      <c r="T86" s="28">
        <v>8.1392907555708965E-2</v>
      </c>
      <c r="U86" s="28">
        <v>0.41075665249780952</v>
      </c>
      <c r="V86" s="27" t="s">
        <v>501</v>
      </c>
    </row>
    <row r="87" spans="1:22" x14ac:dyDescent="0.25">
      <c r="A87" s="27" t="s">
        <v>176</v>
      </c>
      <c r="B87" s="27">
        <v>135</v>
      </c>
      <c r="C87" s="27">
        <v>102</v>
      </c>
      <c r="D87" s="27">
        <v>101</v>
      </c>
      <c r="E87" s="27">
        <v>134</v>
      </c>
      <c r="F87" s="27">
        <v>147</v>
      </c>
      <c r="G87" s="27">
        <v>145</v>
      </c>
      <c r="H87" s="27">
        <v>133</v>
      </c>
      <c r="I87" s="27">
        <v>147</v>
      </c>
      <c r="J87" s="27">
        <v>146</v>
      </c>
      <c r="K87" s="27">
        <v>1</v>
      </c>
      <c r="L87" s="28">
        <v>0.81164383561643838</v>
      </c>
      <c r="M87" s="28">
        <v>0.11315034613781701</v>
      </c>
      <c r="N87" s="28">
        <v>0.13940886528372401</v>
      </c>
      <c r="O87" s="28">
        <v>0.8047945205479452</v>
      </c>
      <c r="P87" s="28">
        <v>0.1131480509453912</v>
      </c>
      <c r="Q87" s="28">
        <v>0.14059247181299681</v>
      </c>
      <c r="R87" s="28">
        <v>0.95890410958904104</v>
      </c>
      <c r="S87" s="28">
        <v>4.8392966462195729E-2</v>
      </c>
      <c r="T87" s="28">
        <v>5.0466950739146983E-2</v>
      </c>
      <c r="U87" s="28">
        <v>0.33046828783586768</v>
      </c>
      <c r="V87" s="27" t="s">
        <v>501</v>
      </c>
    </row>
    <row r="88" spans="1:22" x14ac:dyDescent="0.25">
      <c r="A88" s="27" t="s">
        <v>178</v>
      </c>
      <c r="B88" s="27">
        <v>22</v>
      </c>
      <c r="C88" s="27">
        <v>14</v>
      </c>
      <c r="D88" s="27">
        <v>21</v>
      </c>
      <c r="E88" s="27">
        <v>16</v>
      </c>
      <c r="F88" s="27">
        <v>22</v>
      </c>
      <c r="G88" s="27">
        <v>14</v>
      </c>
      <c r="H88" s="27">
        <v>19</v>
      </c>
      <c r="I88" s="27">
        <v>18</v>
      </c>
      <c r="J88" s="27">
        <v>18</v>
      </c>
      <c r="K88" s="27">
        <v>4</v>
      </c>
      <c r="L88" s="28">
        <v>1</v>
      </c>
      <c r="M88" s="28">
        <v>0.31426968052735438</v>
      </c>
      <c r="N88" s="28">
        <v>0.31426968052735438</v>
      </c>
      <c r="O88" s="28">
        <v>1.0277777777777779</v>
      </c>
      <c r="P88" s="28">
        <v>0.26730961015030402</v>
      </c>
      <c r="Q88" s="28">
        <v>0.2600850260921877</v>
      </c>
      <c r="R88" s="28">
        <v>1.0277777777777779</v>
      </c>
      <c r="S88" s="28">
        <v>0.23007805014861579</v>
      </c>
      <c r="T88" s="28">
        <v>0.22385972446892349</v>
      </c>
      <c r="U88" s="28">
        <v>0.79821443108846568</v>
      </c>
      <c r="V88" s="27" t="s">
        <v>500</v>
      </c>
    </row>
    <row r="89" spans="1:22" x14ac:dyDescent="0.25">
      <c r="A89" s="27" t="s">
        <v>180</v>
      </c>
      <c r="B89" s="27">
        <v>15</v>
      </c>
      <c r="C89" s="27">
        <v>9</v>
      </c>
      <c r="D89" s="27">
        <v>11</v>
      </c>
      <c r="E89" s="27">
        <v>19</v>
      </c>
      <c r="F89" s="27">
        <v>6</v>
      </c>
      <c r="G89" s="27">
        <v>7</v>
      </c>
      <c r="H89" s="27">
        <v>15</v>
      </c>
      <c r="I89" s="27">
        <v>14</v>
      </c>
      <c r="J89" s="27">
        <v>6.5</v>
      </c>
      <c r="K89" s="27">
        <v>0.5</v>
      </c>
      <c r="L89" s="28">
        <v>1.846153846153846</v>
      </c>
      <c r="M89" s="28">
        <v>0.4828924440971164</v>
      </c>
      <c r="N89" s="28">
        <v>0.2615667405526047</v>
      </c>
      <c r="O89" s="28">
        <v>2.307692307692307</v>
      </c>
      <c r="P89" s="28">
        <v>0.64047617172709148</v>
      </c>
      <c r="Q89" s="28">
        <v>0.27753967441507299</v>
      </c>
      <c r="R89" s="28">
        <v>2.2307692307692308</v>
      </c>
      <c r="S89" s="28">
        <v>0.18805027907775981</v>
      </c>
      <c r="T89" s="28">
        <v>8.4298400965892334E-2</v>
      </c>
      <c r="U89" s="28">
        <v>0.62340481593357</v>
      </c>
      <c r="V89" s="27" t="s">
        <v>499</v>
      </c>
    </row>
    <row r="90" spans="1:22" x14ac:dyDescent="0.25">
      <c r="A90" s="27" t="s">
        <v>182</v>
      </c>
      <c r="B90" s="27">
        <v>13</v>
      </c>
      <c r="C90" s="27">
        <v>2</v>
      </c>
      <c r="D90" s="27">
        <v>12</v>
      </c>
      <c r="E90" s="27">
        <v>8</v>
      </c>
      <c r="F90" s="27">
        <v>7</v>
      </c>
      <c r="G90" s="27">
        <v>6</v>
      </c>
      <c r="H90" s="27">
        <v>18</v>
      </c>
      <c r="I90" s="27">
        <v>14</v>
      </c>
      <c r="J90" s="27">
        <v>6.5</v>
      </c>
      <c r="K90" s="27">
        <v>0.5</v>
      </c>
      <c r="L90" s="28">
        <v>1.153846153846154</v>
      </c>
      <c r="M90" s="28">
        <v>0.85079621930605487</v>
      </c>
      <c r="N90" s="28">
        <v>0.73735672339858094</v>
      </c>
      <c r="O90" s="28">
        <v>1.538461538461539</v>
      </c>
      <c r="P90" s="28">
        <v>0.32966599472625141</v>
      </c>
      <c r="Q90" s="28">
        <v>0.2142828965720634</v>
      </c>
      <c r="R90" s="28">
        <v>2.4615384615384621</v>
      </c>
      <c r="S90" s="28">
        <v>0.36128609520647931</v>
      </c>
      <c r="T90" s="28">
        <v>0.1467724761776322</v>
      </c>
      <c r="U90" s="28">
        <v>1.098412096148276</v>
      </c>
      <c r="V90" s="27" t="s">
        <v>500</v>
      </c>
    </row>
    <row r="91" spans="1:22" x14ac:dyDescent="0.25">
      <c r="A91" s="27" t="s">
        <v>184</v>
      </c>
      <c r="B91" s="27">
        <v>18</v>
      </c>
      <c r="C91" s="27">
        <v>12</v>
      </c>
      <c r="D91" s="27">
        <v>22</v>
      </c>
      <c r="E91" s="27">
        <v>18</v>
      </c>
      <c r="F91" s="27">
        <v>11</v>
      </c>
      <c r="G91" s="27">
        <v>28</v>
      </c>
      <c r="H91" s="27">
        <v>25</v>
      </c>
      <c r="I91" s="27">
        <v>29</v>
      </c>
      <c r="J91" s="27">
        <v>19.5</v>
      </c>
      <c r="K91" s="27">
        <v>8.5</v>
      </c>
      <c r="L91" s="28">
        <v>0.76923076923076927</v>
      </c>
      <c r="M91" s="28">
        <v>0.36891538984578109</v>
      </c>
      <c r="N91" s="28">
        <v>0.47959000679951541</v>
      </c>
      <c r="O91" s="28">
        <v>1.025641025641026</v>
      </c>
      <c r="P91" s="28">
        <v>0.4586881498362696</v>
      </c>
      <c r="Q91" s="28">
        <v>0.44722094609036289</v>
      </c>
      <c r="R91" s="28">
        <v>1.384615384615385</v>
      </c>
      <c r="S91" s="28">
        <v>0.61220287059523393</v>
      </c>
      <c r="T91" s="28">
        <v>0.44214651765211338</v>
      </c>
      <c r="U91" s="28">
        <v>1.368957470541992</v>
      </c>
      <c r="V91" s="27" t="s">
        <v>500</v>
      </c>
    </row>
    <row r="92" spans="1:22" x14ac:dyDescent="0.25">
      <c r="A92" s="27" t="s">
        <v>186</v>
      </c>
      <c r="B92" s="27">
        <v>29</v>
      </c>
      <c r="C92" s="27">
        <v>12</v>
      </c>
      <c r="D92" s="27">
        <v>30</v>
      </c>
      <c r="E92" s="27">
        <v>25</v>
      </c>
      <c r="F92" s="27">
        <v>22</v>
      </c>
      <c r="G92" s="27">
        <v>20</v>
      </c>
      <c r="H92" s="27">
        <v>34</v>
      </c>
      <c r="I92" s="27">
        <v>54</v>
      </c>
      <c r="J92" s="27">
        <v>21</v>
      </c>
      <c r="K92" s="27">
        <v>1</v>
      </c>
      <c r="L92" s="28">
        <v>0.97619047619047616</v>
      </c>
      <c r="M92" s="28">
        <v>0.4074224822164712</v>
      </c>
      <c r="N92" s="28">
        <v>0.41735961592906812</v>
      </c>
      <c r="O92" s="28">
        <v>1.30952380952381</v>
      </c>
      <c r="P92" s="28">
        <v>0.13439081169081291</v>
      </c>
      <c r="Q92" s="28">
        <v>0.1026257107457117</v>
      </c>
      <c r="R92" s="28">
        <v>2.0952380952380949</v>
      </c>
      <c r="S92" s="28">
        <v>0.48653064606404223</v>
      </c>
      <c r="T92" s="28">
        <v>0.23220780834874741</v>
      </c>
      <c r="U92" s="28">
        <v>0.75219313502352714</v>
      </c>
      <c r="V92" s="27" t="s">
        <v>500</v>
      </c>
    </row>
    <row r="93" spans="1:22" x14ac:dyDescent="0.25">
      <c r="A93" s="27" t="s">
        <v>188</v>
      </c>
      <c r="B93" s="27">
        <v>3038</v>
      </c>
      <c r="C93" s="27">
        <v>2229</v>
      </c>
      <c r="D93" s="27">
        <v>2675</v>
      </c>
      <c r="E93" s="27">
        <v>2526</v>
      </c>
      <c r="F93" s="27">
        <v>2433</v>
      </c>
      <c r="G93" s="27">
        <v>2855</v>
      </c>
      <c r="H93" s="27">
        <v>3918</v>
      </c>
      <c r="I93" s="27">
        <v>3809</v>
      </c>
      <c r="J93" s="27">
        <v>2644</v>
      </c>
      <c r="K93" s="27">
        <v>211</v>
      </c>
      <c r="L93" s="28">
        <v>0.99602874432677757</v>
      </c>
      <c r="M93" s="28">
        <v>0.17240471531252349</v>
      </c>
      <c r="N93" s="28">
        <v>0.17309210832971789</v>
      </c>
      <c r="O93" s="28">
        <v>0.98354765506807862</v>
      </c>
      <c r="P93" s="28">
        <v>8.3394740680905313E-2</v>
      </c>
      <c r="Q93" s="28">
        <v>8.4789730575010061E-2</v>
      </c>
      <c r="R93" s="28">
        <v>1.461232980332829</v>
      </c>
      <c r="S93" s="28">
        <v>0.11841903808133181</v>
      </c>
      <c r="T93" s="28">
        <v>8.1040490924560935E-2</v>
      </c>
      <c r="U93" s="28">
        <v>0.33892232982928888</v>
      </c>
      <c r="V93" s="27" t="s">
        <v>501</v>
      </c>
    </row>
    <row r="94" spans="1:22" x14ac:dyDescent="0.25">
      <c r="A94" s="27" t="s">
        <v>190</v>
      </c>
      <c r="B94" s="27">
        <v>4</v>
      </c>
      <c r="C94" s="27">
        <v>6</v>
      </c>
      <c r="D94" s="27">
        <v>7</v>
      </c>
      <c r="E94" s="27">
        <v>4</v>
      </c>
      <c r="F94" s="27">
        <v>7</v>
      </c>
      <c r="G94" s="27">
        <v>12</v>
      </c>
      <c r="H94" s="27">
        <v>8</v>
      </c>
      <c r="I94" s="27">
        <v>12</v>
      </c>
      <c r="J94" s="27">
        <v>9.5</v>
      </c>
      <c r="K94" s="27">
        <v>2.5</v>
      </c>
      <c r="L94" s="28">
        <v>0.52631578947368418</v>
      </c>
      <c r="M94" s="28">
        <v>0.17396474756905911</v>
      </c>
      <c r="N94" s="28">
        <v>0.33053302038121218</v>
      </c>
      <c r="O94" s="28">
        <v>0.57894736842105265</v>
      </c>
      <c r="P94" s="28">
        <v>0.21941436397022551</v>
      </c>
      <c r="Q94" s="28">
        <v>0.3789884468576622</v>
      </c>
      <c r="R94" s="28">
        <v>1.0526315789473679</v>
      </c>
      <c r="S94" s="28">
        <v>0.34792949513811811</v>
      </c>
      <c r="T94" s="28">
        <v>0.33053302038121218</v>
      </c>
      <c r="U94" s="28">
        <v>1.040054487620087</v>
      </c>
      <c r="V94" s="27" t="s">
        <v>500</v>
      </c>
    </row>
    <row r="95" spans="1:22" x14ac:dyDescent="0.25">
      <c r="A95" s="27" t="s">
        <v>192</v>
      </c>
      <c r="B95" s="27">
        <v>16</v>
      </c>
      <c r="C95" s="27">
        <v>8</v>
      </c>
      <c r="D95" s="27">
        <v>15</v>
      </c>
      <c r="E95" s="27">
        <v>9</v>
      </c>
      <c r="F95" s="27">
        <v>15</v>
      </c>
      <c r="G95" s="27">
        <v>14</v>
      </c>
      <c r="H95" s="27">
        <v>25</v>
      </c>
      <c r="I95" s="27">
        <v>26</v>
      </c>
      <c r="J95" s="27">
        <v>14.5</v>
      </c>
      <c r="K95" s="27">
        <v>0.5</v>
      </c>
      <c r="L95" s="28">
        <v>0.82758620689655171</v>
      </c>
      <c r="M95" s="28">
        <v>0.27733421616386678</v>
      </c>
      <c r="N95" s="28">
        <v>0.3351121778646724</v>
      </c>
      <c r="O95" s="28">
        <v>0.82758620689655171</v>
      </c>
      <c r="P95" s="28">
        <v>0.20885537933371379</v>
      </c>
      <c r="Q95" s="28">
        <v>0.25236691669490419</v>
      </c>
      <c r="R95" s="28">
        <v>1.7586206896551719</v>
      </c>
      <c r="S95" s="28">
        <v>6.9760476308549951E-2</v>
      </c>
      <c r="T95" s="28">
        <v>3.9667721822508793E-2</v>
      </c>
      <c r="U95" s="28">
        <v>0.62714681638208547</v>
      </c>
      <c r="V95" s="27" t="s">
        <v>499</v>
      </c>
    </row>
    <row r="96" spans="1:22" x14ac:dyDescent="0.25">
      <c r="A96" s="27" t="s">
        <v>194</v>
      </c>
      <c r="B96" s="27">
        <v>734</v>
      </c>
      <c r="C96" s="27">
        <v>397</v>
      </c>
      <c r="D96" s="27">
        <v>748</v>
      </c>
      <c r="E96" s="27">
        <v>626</v>
      </c>
      <c r="F96" s="27">
        <v>723</v>
      </c>
      <c r="G96" s="27">
        <v>793</v>
      </c>
      <c r="H96" s="27">
        <v>1158</v>
      </c>
      <c r="I96" s="27">
        <v>1229</v>
      </c>
      <c r="J96" s="27">
        <v>758</v>
      </c>
      <c r="K96" s="27">
        <v>35</v>
      </c>
      <c r="L96" s="28">
        <v>0.74604221635883905</v>
      </c>
      <c r="M96" s="28">
        <v>0.22494877373023031</v>
      </c>
      <c r="N96" s="28">
        <v>0.30152284790011419</v>
      </c>
      <c r="O96" s="28">
        <v>0.90633245382585748</v>
      </c>
      <c r="P96" s="28">
        <v>9.0705921393706576E-2</v>
      </c>
      <c r="Q96" s="28">
        <v>0.1000801869234783</v>
      </c>
      <c r="R96" s="28">
        <v>1.5745382585751979</v>
      </c>
      <c r="S96" s="28">
        <v>8.6481916064532108E-2</v>
      </c>
      <c r="T96" s="28">
        <v>5.4925255447771541E-2</v>
      </c>
      <c r="U96" s="28">
        <v>0.4565282902713641</v>
      </c>
      <c r="V96" s="27" t="s">
        <v>498</v>
      </c>
    </row>
    <row r="97" spans="1:22" x14ac:dyDescent="0.25">
      <c r="A97" s="27" t="s">
        <v>196</v>
      </c>
      <c r="B97" s="27">
        <v>120156</v>
      </c>
      <c r="C97" s="27">
        <v>78595</v>
      </c>
      <c r="D97" s="27">
        <v>92239</v>
      </c>
      <c r="E97" s="27">
        <v>92081</v>
      </c>
      <c r="F97" s="27">
        <v>102393</v>
      </c>
      <c r="G97" s="27">
        <v>99013</v>
      </c>
      <c r="H97" s="27">
        <v>102062</v>
      </c>
      <c r="I97" s="27">
        <v>163316</v>
      </c>
      <c r="J97" s="27">
        <v>100703</v>
      </c>
      <c r="K97" s="27">
        <v>1690</v>
      </c>
      <c r="L97" s="28">
        <v>0.9868176717674747</v>
      </c>
      <c r="M97" s="28">
        <v>0.2070177989863628</v>
      </c>
      <c r="N97" s="28">
        <v>0.20978323038700369</v>
      </c>
      <c r="O97" s="28">
        <v>0.91516638034616649</v>
      </c>
      <c r="P97" s="28">
        <v>1.537836488918746E-2</v>
      </c>
      <c r="Q97" s="28">
        <v>1.6803900601517409E-2</v>
      </c>
      <c r="R97" s="28">
        <v>1.3176270816162381</v>
      </c>
      <c r="S97" s="28">
        <v>0.30493475494834549</v>
      </c>
      <c r="T97" s="28">
        <v>0.23142720668302</v>
      </c>
      <c r="U97" s="28">
        <v>0.45801433767154109</v>
      </c>
      <c r="V97" s="27" t="s">
        <v>498</v>
      </c>
    </row>
    <row r="98" spans="1:22" x14ac:dyDescent="0.25">
      <c r="A98" s="27" t="s">
        <v>198</v>
      </c>
      <c r="B98" s="27">
        <v>12</v>
      </c>
      <c r="C98" s="27">
        <v>10</v>
      </c>
      <c r="D98" s="27">
        <v>14</v>
      </c>
      <c r="E98" s="27">
        <v>14</v>
      </c>
      <c r="F98" s="27">
        <v>12</v>
      </c>
      <c r="G98" s="27">
        <v>10</v>
      </c>
      <c r="H98" s="27">
        <v>17</v>
      </c>
      <c r="I98" s="27">
        <v>21</v>
      </c>
      <c r="J98" s="27">
        <v>11</v>
      </c>
      <c r="K98" s="27">
        <v>1</v>
      </c>
      <c r="L98" s="28">
        <v>1</v>
      </c>
      <c r="M98" s="28">
        <v>0.12856486930664501</v>
      </c>
      <c r="N98" s="28">
        <v>0.12856486930664501</v>
      </c>
      <c r="O98" s="28">
        <v>1.2727272727272729</v>
      </c>
      <c r="P98" s="28">
        <v>0.11570247933884301</v>
      </c>
      <c r="Q98" s="28">
        <v>9.0909090909090912E-2</v>
      </c>
      <c r="R98" s="28">
        <v>1.7272727272727271</v>
      </c>
      <c r="S98" s="28">
        <v>0.24023870832642369</v>
      </c>
      <c r="T98" s="28">
        <v>0.13908556797845581</v>
      </c>
      <c r="U98" s="28">
        <v>0.35855952819419168</v>
      </c>
      <c r="V98" s="27" t="s">
        <v>501</v>
      </c>
    </row>
    <row r="99" spans="1:22" x14ac:dyDescent="0.25">
      <c r="A99" s="27" t="s">
        <v>200</v>
      </c>
      <c r="B99" s="27">
        <v>13</v>
      </c>
      <c r="C99" s="27">
        <v>6</v>
      </c>
      <c r="D99" s="27">
        <v>13</v>
      </c>
      <c r="E99" s="27">
        <v>18</v>
      </c>
      <c r="F99" s="27">
        <v>16</v>
      </c>
      <c r="G99" s="27">
        <v>11</v>
      </c>
      <c r="H99" s="27">
        <v>12</v>
      </c>
      <c r="I99" s="27">
        <v>17</v>
      </c>
      <c r="J99" s="27">
        <v>13.5</v>
      </c>
      <c r="K99" s="27">
        <v>2.5</v>
      </c>
      <c r="L99" s="28">
        <v>0.70370370370370372</v>
      </c>
      <c r="M99" s="28">
        <v>0.29016804308998101</v>
      </c>
      <c r="N99" s="28">
        <v>0.41234406123313089</v>
      </c>
      <c r="O99" s="28">
        <v>1.1481481481481479</v>
      </c>
      <c r="P99" s="28">
        <v>0.28195891345808588</v>
      </c>
      <c r="Q99" s="28">
        <v>0.2455771181731716</v>
      </c>
      <c r="R99" s="28">
        <v>1.074074074074074</v>
      </c>
      <c r="S99" s="28">
        <v>0.27176423533825722</v>
      </c>
      <c r="T99" s="28">
        <v>0.25302187428044631</v>
      </c>
      <c r="U99" s="28">
        <v>0.91094305368674877</v>
      </c>
      <c r="V99" s="27" t="s">
        <v>500</v>
      </c>
    </row>
    <row r="100" spans="1:22" x14ac:dyDescent="0.25">
      <c r="A100" s="27" t="s">
        <v>202</v>
      </c>
      <c r="B100" s="27">
        <v>17</v>
      </c>
      <c r="C100" s="27">
        <v>14</v>
      </c>
      <c r="D100" s="27">
        <v>16</v>
      </c>
      <c r="E100" s="27">
        <v>22</v>
      </c>
      <c r="F100" s="27">
        <v>17</v>
      </c>
      <c r="G100" s="27">
        <v>11</v>
      </c>
      <c r="H100" s="27">
        <v>20</v>
      </c>
      <c r="I100" s="27">
        <v>29</v>
      </c>
      <c r="J100" s="27">
        <v>14</v>
      </c>
      <c r="K100" s="27">
        <v>3</v>
      </c>
      <c r="L100" s="28">
        <v>1.107142857142857</v>
      </c>
      <c r="M100" s="28">
        <v>0.26031660232186149</v>
      </c>
      <c r="N100" s="28">
        <v>0.23512467306490711</v>
      </c>
      <c r="O100" s="28">
        <v>1.357142857142857</v>
      </c>
      <c r="P100" s="28">
        <v>0.36123746085324321</v>
      </c>
      <c r="Q100" s="28">
        <v>0.26617497115502131</v>
      </c>
      <c r="R100" s="28">
        <v>1.75</v>
      </c>
      <c r="S100" s="28">
        <v>0.49390416735497611</v>
      </c>
      <c r="T100" s="28">
        <v>0.28223095277427213</v>
      </c>
      <c r="U100" s="28">
        <v>0.78353059699420058</v>
      </c>
      <c r="V100" s="27" t="s">
        <v>500</v>
      </c>
    </row>
    <row r="101" spans="1:22" x14ac:dyDescent="0.25">
      <c r="A101" s="27" t="s">
        <v>204</v>
      </c>
      <c r="B101" s="27">
        <v>48</v>
      </c>
      <c r="C101" s="27">
        <v>38</v>
      </c>
      <c r="D101" s="27">
        <v>31</v>
      </c>
      <c r="E101" s="27">
        <v>37</v>
      </c>
      <c r="F101" s="27">
        <v>46</v>
      </c>
      <c r="G101" s="27">
        <v>38</v>
      </c>
      <c r="H101" s="27">
        <v>57</v>
      </c>
      <c r="I101" s="27">
        <v>54</v>
      </c>
      <c r="J101" s="27">
        <v>42</v>
      </c>
      <c r="K101" s="27">
        <v>4</v>
      </c>
      <c r="L101" s="28">
        <v>1.0238095238095239</v>
      </c>
      <c r="M101" s="28">
        <v>0.15388206872543889</v>
      </c>
      <c r="N101" s="28">
        <v>0.15030341596438221</v>
      </c>
      <c r="O101" s="28">
        <v>0.80952380952380953</v>
      </c>
      <c r="P101" s="28">
        <v>0.1051002673483654</v>
      </c>
      <c r="Q101" s="28">
        <v>0.12982974201856901</v>
      </c>
      <c r="R101" s="28">
        <v>1.321428571428571</v>
      </c>
      <c r="S101" s="28">
        <v>0.13081979329001489</v>
      </c>
      <c r="T101" s="28">
        <v>9.8998762489740974E-2</v>
      </c>
      <c r="U101" s="28">
        <v>0.37913192047269217</v>
      </c>
      <c r="V101" s="27" t="s">
        <v>501</v>
      </c>
    </row>
    <row r="102" spans="1:22" x14ac:dyDescent="0.25">
      <c r="A102" s="27" t="s">
        <v>206</v>
      </c>
      <c r="B102" s="27">
        <v>300</v>
      </c>
      <c r="C102" s="27">
        <v>183</v>
      </c>
      <c r="D102" s="27">
        <v>230</v>
      </c>
      <c r="E102" s="27">
        <v>221</v>
      </c>
      <c r="F102" s="27">
        <v>220</v>
      </c>
      <c r="G102" s="27">
        <v>253</v>
      </c>
      <c r="H102" s="27">
        <v>362</v>
      </c>
      <c r="I102" s="27">
        <v>385</v>
      </c>
      <c r="J102" s="27">
        <v>236.5</v>
      </c>
      <c r="K102" s="27">
        <v>16.5</v>
      </c>
      <c r="L102" s="28">
        <v>1.021141649048626</v>
      </c>
      <c r="M102" s="28">
        <v>0.25741234659056339</v>
      </c>
      <c r="N102" s="28">
        <v>0.25208289842098658</v>
      </c>
      <c r="O102" s="28">
        <v>0.95348837209302328</v>
      </c>
      <c r="P102" s="28">
        <v>6.9190178375947042E-2</v>
      </c>
      <c r="Q102" s="28">
        <v>7.2565309028432265E-2</v>
      </c>
      <c r="R102" s="28">
        <v>1.5792811839323471</v>
      </c>
      <c r="S102" s="28">
        <v>0.120435172600102</v>
      </c>
      <c r="T102" s="28">
        <v>7.6259486800332357E-2</v>
      </c>
      <c r="U102" s="28">
        <v>0.4009076942497512</v>
      </c>
      <c r="V102" s="27" t="s">
        <v>501</v>
      </c>
    </row>
    <row r="103" spans="1:22" x14ac:dyDescent="0.25">
      <c r="A103" s="27" t="s">
        <v>208</v>
      </c>
      <c r="B103" s="27">
        <v>11</v>
      </c>
      <c r="C103" s="27">
        <v>2</v>
      </c>
      <c r="D103" s="27">
        <v>3</v>
      </c>
      <c r="E103" s="27">
        <v>4</v>
      </c>
      <c r="F103" s="27">
        <v>8</v>
      </c>
      <c r="G103" s="27">
        <v>10</v>
      </c>
      <c r="H103" s="27">
        <v>6</v>
      </c>
      <c r="I103" s="27">
        <v>6</v>
      </c>
      <c r="J103" s="27">
        <v>9</v>
      </c>
      <c r="K103" s="27">
        <v>1</v>
      </c>
      <c r="L103" s="28">
        <v>0.72222222222222221</v>
      </c>
      <c r="M103" s="28">
        <v>0.50639862474058472</v>
      </c>
      <c r="N103" s="28">
        <v>0.70116732656388658</v>
      </c>
      <c r="O103" s="28">
        <v>0.3888888888888889</v>
      </c>
      <c r="P103" s="28">
        <v>7.0381199080193704E-2</v>
      </c>
      <c r="Q103" s="28">
        <v>0.1809802262062124</v>
      </c>
      <c r="R103" s="28">
        <v>0.66666666666666663</v>
      </c>
      <c r="S103" s="28">
        <v>7.407407407407407E-2</v>
      </c>
      <c r="T103" s="28">
        <v>0.1111111111111111</v>
      </c>
      <c r="U103" s="28">
        <v>0.99325866388120998</v>
      </c>
      <c r="V103" s="27" t="s">
        <v>500</v>
      </c>
    </row>
    <row r="104" spans="1:22" x14ac:dyDescent="0.25">
      <c r="A104" s="27" t="s">
        <v>210</v>
      </c>
      <c r="B104" s="27">
        <v>1779</v>
      </c>
      <c r="C104" s="27">
        <v>1051</v>
      </c>
      <c r="D104" s="27">
        <v>1882</v>
      </c>
      <c r="E104" s="27">
        <v>1562</v>
      </c>
      <c r="F104" s="27">
        <v>1526</v>
      </c>
      <c r="G104" s="27">
        <v>2040</v>
      </c>
      <c r="H104" s="27">
        <v>3108</v>
      </c>
      <c r="I104" s="27">
        <v>2660</v>
      </c>
      <c r="J104" s="27">
        <v>1783</v>
      </c>
      <c r="K104" s="27">
        <v>257</v>
      </c>
      <c r="L104" s="28">
        <v>0.79360628154795287</v>
      </c>
      <c r="M104" s="28">
        <v>0.2340135663857254</v>
      </c>
      <c r="N104" s="28">
        <v>0.29487363170724268</v>
      </c>
      <c r="O104" s="28">
        <v>0.96578799775658997</v>
      </c>
      <c r="P104" s="28">
        <v>0.1656243768225924</v>
      </c>
      <c r="Q104" s="28">
        <v>0.17149144243593631</v>
      </c>
      <c r="R104" s="28">
        <v>1.617498597868761</v>
      </c>
      <c r="S104" s="28">
        <v>0.26483886706358112</v>
      </c>
      <c r="T104" s="28">
        <v>0.16373359915893379</v>
      </c>
      <c r="U104" s="28">
        <v>0.63009867330211289</v>
      </c>
      <c r="V104" s="27" t="s">
        <v>499</v>
      </c>
    </row>
    <row r="105" spans="1:22" x14ac:dyDescent="0.25">
      <c r="A105" s="27" t="s">
        <v>212</v>
      </c>
      <c r="B105" s="27">
        <v>500</v>
      </c>
      <c r="C105" s="27">
        <v>358</v>
      </c>
      <c r="D105" s="27">
        <v>519</v>
      </c>
      <c r="E105" s="27">
        <v>409</v>
      </c>
      <c r="F105" s="27">
        <v>493</v>
      </c>
      <c r="G105" s="27">
        <v>579</v>
      </c>
      <c r="H105" s="27">
        <v>895</v>
      </c>
      <c r="I105" s="27">
        <v>776</v>
      </c>
      <c r="J105" s="27">
        <v>536</v>
      </c>
      <c r="K105" s="27">
        <v>43</v>
      </c>
      <c r="L105" s="28">
        <v>0.80037313432835822</v>
      </c>
      <c r="M105" s="28">
        <v>0.14720449718420939</v>
      </c>
      <c r="N105" s="28">
        <v>0.18391983797374409</v>
      </c>
      <c r="O105" s="28">
        <v>0.86567164179104472</v>
      </c>
      <c r="P105" s="28">
        <v>0.1239038776045009</v>
      </c>
      <c r="Q105" s="28">
        <v>0.14313034137071651</v>
      </c>
      <c r="R105" s="28">
        <v>1.5587686567164181</v>
      </c>
      <c r="S105" s="28">
        <v>0.16721326791880889</v>
      </c>
      <c r="T105" s="28">
        <v>0.1072726649963873</v>
      </c>
      <c r="U105" s="28">
        <v>0.43432284434084789</v>
      </c>
      <c r="V105" s="27" t="s">
        <v>501</v>
      </c>
    </row>
    <row r="106" spans="1:22" x14ac:dyDescent="0.25">
      <c r="A106" s="27" t="s">
        <v>214</v>
      </c>
      <c r="B106" s="27">
        <v>185</v>
      </c>
      <c r="C106" s="27">
        <v>105</v>
      </c>
      <c r="D106" s="27">
        <v>165</v>
      </c>
      <c r="E106" s="27">
        <v>139</v>
      </c>
      <c r="F106" s="27">
        <v>145</v>
      </c>
      <c r="G106" s="27">
        <v>172</v>
      </c>
      <c r="H106" s="27">
        <v>261</v>
      </c>
      <c r="I106" s="27">
        <v>253</v>
      </c>
      <c r="J106" s="27">
        <v>158.5</v>
      </c>
      <c r="K106" s="27">
        <v>13.5</v>
      </c>
      <c r="L106" s="28">
        <v>0.91482649842271291</v>
      </c>
      <c r="M106" s="28">
        <v>0.26412105137669628</v>
      </c>
      <c r="N106" s="28">
        <v>0.28871163202211292</v>
      </c>
      <c r="O106" s="28">
        <v>0.95899053627760256</v>
      </c>
      <c r="P106" s="28">
        <v>0.11575328041821741</v>
      </c>
      <c r="Q106" s="28">
        <v>0.1207032562255754</v>
      </c>
      <c r="R106" s="28">
        <v>1.6214511041009461</v>
      </c>
      <c r="S106" s="28">
        <v>0.1403915417692487</v>
      </c>
      <c r="T106" s="28">
        <v>8.6583888600879053E-2</v>
      </c>
      <c r="U106" s="28">
        <v>0.4959987768485673</v>
      </c>
      <c r="V106" s="27" t="s">
        <v>498</v>
      </c>
    </row>
    <row r="107" spans="1:22" x14ac:dyDescent="0.25">
      <c r="A107" s="27" t="s">
        <v>216</v>
      </c>
      <c r="B107" s="27">
        <v>1181</v>
      </c>
      <c r="C107" s="27">
        <v>579</v>
      </c>
      <c r="D107" s="27">
        <v>1059</v>
      </c>
      <c r="E107" s="27">
        <v>957</v>
      </c>
      <c r="F107" s="27">
        <v>916</v>
      </c>
      <c r="G107" s="27">
        <v>1115</v>
      </c>
      <c r="H107" s="27">
        <v>1513</v>
      </c>
      <c r="I107" s="27">
        <v>1566</v>
      </c>
      <c r="J107" s="27">
        <v>1015.5</v>
      </c>
      <c r="K107" s="27">
        <v>99.5</v>
      </c>
      <c r="L107" s="28">
        <v>0.86656819300837029</v>
      </c>
      <c r="M107" s="28">
        <v>0.30832713821204571</v>
      </c>
      <c r="N107" s="28">
        <v>0.35580251006174141</v>
      </c>
      <c r="O107" s="28">
        <v>0.99261447562776961</v>
      </c>
      <c r="P107" s="28">
        <v>0.10945892163492101</v>
      </c>
      <c r="Q107" s="28">
        <v>0.1102733481351808</v>
      </c>
      <c r="R107" s="28">
        <v>1.5160019694731659</v>
      </c>
      <c r="S107" s="28">
        <v>0.1508146439224228</v>
      </c>
      <c r="T107" s="28">
        <v>9.9481825854641326E-2</v>
      </c>
      <c r="U107" s="28">
        <v>0.56555768405156348</v>
      </c>
      <c r="V107" s="27" t="s">
        <v>499</v>
      </c>
    </row>
    <row r="108" spans="1:22" x14ac:dyDescent="0.25">
      <c r="A108" s="27" t="s">
        <v>218</v>
      </c>
      <c r="B108" s="27">
        <v>996</v>
      </c>
      <c r="C108" s="27">
        <v>707</v>
      </c>
      <c r="D108" s="27">
        <v>805</v>
      </c>
      <c r="E108" s="27">
        <v>778</v>
      </c>
      <c r="F108" s="27">
        <v>928</v>
      </c>
      <c r="G108" s="27">
        <v>854</v>
      </c>
      <c r="H108" s="27">
        <v>847</v>
      </c>
      <c r="I108" s="27">
        <v>1302</v>
      </c>
      <c r="J108" s="27">
        <v>891</v>
      </c>
      <c r="K108" s="27">
        <v>37</v>
      </c>
      <c r="L108" s="28">
        <v>0.95566778900112237</v>
      </c>
      <c r="M108" s="28">
        <v>0.16696232646937981</v>
      </c>
      <c r="N108" s="28">
        <v>0.17470749604723121</v>
      </c>
      <c r="O108" s="28">
        <v>0.888327721661055</v>
      </c>
      <c r="P108" s="28">
        <v>3.9879430078227009E-2</v>
      </c>
      <c r="Q108" s="28">
        <v>4.4892700189134889E-2</v>
      </c>
      <c r="R108" s="28">
        <v>1.2059483726150391</v>
      </c>
      <c r="S108" s="28">
        <v>0.26019576753836582</v>
      </c>
      <c r="T108" s="28">
        <v>0.21576028746085049</v>
      </c>
      <c r="U108" s="28">
        <v>0.43536048369721658</v>
      </c>
      <c r="V108" s="27" t="s">
        <v>501</v>
      </c>
    </row>
    <row r="109" spans="1:22" x14ac:dyDescent="0.25">
      <c r="A109" s="27" t="s">
        <v>220</v>
      </c>
      <c r="B109" s="27">
        <v>8024</v>
      </c>
      <c r="C109" s="27">
        <v>6011</v>
      </c>
      <c r="D109" s="27">
        <v>9044</v>
      </c>
      <c r="E109" s="27">
        <v>7359</v>
      </c>
      <c r="F109" s="27">
        <v>7991</v>
      </c>
      <c r="G109" s="27">
        <v>9369</v>
      </c>
      <c r="H109" s="27">
        <v>16431</v>
      </c>
      <c r="I109" s="27">
        <v>12290</v>
      </c>
      <c r="J109" s="27">
        <v>8680</v>
      </c>
      <c r="K109" s="27">
        <v>689</v>
      </c>
      <c r="L109" s="28">
        <v>0.80846774193548387</v>
      </c>
      <c r="M109" s="28">
        <v>0.13253001916540949</v>
      </c>
      <c r="N109" s="28">
        <v>0.16392740525197791</v>
      </c>
      <c r="O109" s="28">
        <v>0.94487327188940096</v>
      </c>
      <c r="P109" s="28">
        <v>0.12266368086649621</v>
      </c>
      <c r="Q109" s="28">
        <v>0.12982024628679961</v>
      </c>
      <c r="R109" s="28">
        <v>1.6544354838709681</v>
      </c>
      <c r="S109" s="28">
        <v>0.27229808115034809</v>
      </c>
      <c r="T109" s="28">
        <v>0.16458670271822159</v>
      </c>
      <c r="U109" s="28">
        <v>0.45833435425699909</v>
      </c>
      <c r="V109" s="27" t="s">
        <v>498</v>
      </c>
    </row>
    <row r="110" spans="1:22" x14ac:dyDescent="0.25">
      <c r="A110" s="27" t="s">
        <v>222</v>
      </c>
      <c r="B110" s="27">
        <v>232</v>
      </c>
      <c r="C110" s="27">
        <v>155</v>
      </c>
      <c r="D110" s="27">
        <v>236</v>
      </c>
      <c r="E110" s="27">
        <v>194</v>
      </c>
      <c r="F110" s="27">
        <v>182</v>
      </c>
      <c r="G110" s="27">
        <v>241</v>
      </c>
      <c r="H110" s="27">
        <v>436</v>
      </c>
      <c r="I110" s="27">
        <v>309</v>
      </c>
      <c r="J110" s="27">
        <v>211.5</v>
      </c>
      <c r="K110" s="27">
        <v>29.5</v>
      </c>
      <c r="L110" s="28">
        <v>0.91489361702127658</v>
      </c>
      <c r="M110" s="28">
        <v>0.22230648998752831</v>
      </c>
      <c r="N110" s="28">
        <v>0.24298616347474031</v>
      </c>
      <c r="O110" s="28">
        <v>1.0165484633569739</v>
      </c>
      <c r="P110" s="28">
        <v>0.17309685050731591</v>
      </c>
      <c r="Q110" s="28">
        <v>0.17027899480138281</v>
      </c>
      <c r="R110" s="28">
        <v>1.761229314420804</v>
      </c>
      <c r="S110" s="28">
        <v>0.38792888324636388</v>
      </c>
      <c r="T110" s="28">
        <v>0.220260292098271</v>
      </c>
      <c r="U110" s="28">
        <v>0.63352545037439412</v>
      </c>
      <c r="V110" s="27" t="s">
        <v>499</v>
      </c>
    </row>
    <row r="111" spans="1:22" x14ac:dyDescent="0.25">
      <c r="A111" s="27" t="s">
        <v>224</v>
      </c>
      <c r="B111" s="27">
        <v>277</v>
      </c>
      <c r="C111" s="27">
        <v>176</v>
      </c>
      <c r="D111" s="27">
        <v>204</v>
      </c>
      <c r="E111" s="27">
        <v>213</v>
      </c>
      <c r="F111" s="27">
        <v>215</v>
      </c>
      <c r="G111" s="27">
        <v>220</v>
      </c>
      <c r="H111" s="27">
        <v>241</v>
      </c>
      <c r="I111" s="27">
        <v>370</v>
      </c>
      <c r="J111" s="27">
        <v>217.5</v>
      </c>
      <c r="K111" s="27">
        <v>2.5</v>
      </c>
      <c r="L111" s="28">
        <v>1.0413793103448279</v>
      </c>
      <c r="M111" s="28">
        <v>0.23249224742777899</v>
      </c>
      <c r="N111" s="28">
        <v>0.2232541448809798</v>
      </c>
      <c r="O111" s="28">
        <v>0.95862068965517244</v>
      </c>
      <c r="P111" s="28">
        <v>2.3440819263556571E-2</v>
      </c>
      <c r="Q111" s="28">
        <v>2.445265318860217E-2</v>
      </c>
      <c r="R111" s="28">
        <v>1.4045977011494251</v>
      </c>
      <c r="S111" s="28">
        <v>0.29699087476513591</v>
      </c>
      <c r="T111" s="28">
        <v>0.2114419484825435</v>
      </c>
      <c r="U111" s="28">
        <v>0.45914874655212551</v>
      </c>
      <c r="V111" s="27" t="s">
        <v>498</v>
      </c>
    </row>
    <row r="112" spans="1:22" x14ac:dyDescent="0.25">
      <c r="A112" s="27" t="s">
        <v>226</v>
      </c>
      <c r="B112" s="27">
        <v>187</v>
      </c>
      <c r="C112" s="27">
        <v>132</v>
      </c>
      <c r="D112" s="27">
        <v>146</v>
      </c>
      <c r="E112" s="27">
        <v>134</v>
      </c>
      <c r="F112" s="27">
        <v>188</v>
      </c>
      <c r="G112" s="27">
        <v>160</v>
      </c>
      <c r="H112" s="27">
        <v>177</v>
      </c>
      <c r="I112" s="27">
        <v>272</v>
      </c>
      <c r="J112" s="27">
        <v>174</v>
      </c>
      <c r="K112" s="27">
        <v>14</v>
      </c>
      <c r="L112" s="28">
        <v>0.91666666666666663</v>
      </c>
      <c r="M112" s="28">
        <v>0.17440842809359711</v>
      </c>
      <c r="N112" s="28">
        <v>0.1902637397384695</v>
      </c>
      <c r="O112" s="28">
        <v>0.8045977011494253</v>
      </c>
      <c r="P112" s="28">
        <v>7.3348731469951342E-2</v>
      </c>
      <c r="Q112" s="28">
        <v>9.1161994826939527E-2</v>
      </c>
      <c r="R112" s="28">
        <v>1.2902298850574709</v>
      </c>
      <c r="S112" s="28">
        <v>0.29206090555505132</v>
      </c>
      <c r="T112" s="28">
        <v>0.22636346354823569</v>
      </c>
      <c r="U112" s="28">
        <v>0.50778919811364476</v>
      </c>
      <c r="V112" s="27" t="s">
        <v>498</v>
      </c>
    </row>
    <row r="113" spans="1:22" x14ac:dyDescent="0.25">
      <c r="A113" s="27" t="s">
        <v>228</v>
      </c>
      <c r="B113" s="27">
        <v>15485</v>
      </c>
      <c r="C113" s="27">
        <v>9078</v>
      </c>
      <c r="D113" s="27">
        <v>15777</v>
      </c>
      <c r="E113" s="27">
        <v>15260</v>
      </c>
      <c r="F113" s="27">
        <v>14740</v>
      </c>
      <c r="G113" s="27">
        <v>16288</v>
      </c>
      <c r="H113" s="27">
        <v>21250</v>
      </c>
      <c r="I113" s="27">
        <v>17504</v>
      </c>
      <c r="J113" s="27">
        <v>15514</v>
      </c>
      <c r="K113" s="27">
        <v>774</v>
      </c>
      <c r="L113" s="28">
        <v>0.79163980920458943</v>
      </c>
      <c r="M113" s="28">
        <v>0.21023408569512769</v>
      </c>
      <c r="N113" s="28">
        <v>0.26556785453521242</v>
      </c>
      <c r="O113" s="28">
        <v>1.0002900605904339</v>
      </c>
      <c r="P113" s="28">
        <v>5.2613048588836031E-2</v>
      </c>
      <c r="Q113" s="28">
        <v>5.2597792042220717E-2</v>
      </c>
      <c r="R113" s="28">
        <v>1.249000902410726</v>
      </c>
      <c r="S113" s="28">
        <v>0.13586237245857199</v>
      </c>
      <c r="T113" s="28">
        <v>0.1087768409104756</v>
      </c>
      <c r="U113" s="28">
        <v>0.4269424874879087</v>
      </c>
      <c r="V113" s="27" t="s">
        <v>501</v>
      </c>
    </row>
    <row r="114" spans="1:22" x14ac:dyDescent="0.25">
      <c r="A114" s="27" t="s">
        <v>230</v>
      </c>
      <c r="B114" s="27">
        <v>2314</v>
      </c>
      <c r="C114" s="27">
        <v>1140</v>
      </c>
      <c r="D114" s="27">
        <v>1792</v>
      </c>
      <c r="E114" s="27">
        <v>1815</v>
      </c>
      <c r="F114" s="27">
        <v>1935</v>
      </c>
      <c r="G114" s="27">
        <v>1987</v>
      </c>
      <c r="H114" s="27">
        <v>2039</v>
      </c>
      <c r="I114" s="27">
        <v>3482</v>
      </c>
      <c r="J114" s="27">
        <v>1961</v>
      </c>
      <c r="K114" s="27">
        <v>26</v>
      </c>
      <c r="L114" s="28">
        <v>0.88067312595614478</v>
      </c>
      <c r="M114" s="28">
        <v>0.29956472173065951</v>
      </c>
      <c r="N114" s="28">
        <v>0.34015426711860058</v>
      </c>
      <c r="O114" s="28">
        <v>0.91968383477817439</v>
      </c>
      <c r="P114" s="28">
        <v>1.353056383130964E-2</v>
      </c>
      <c r="Q114" s="28">
        <v>1.4712190559023119E-2</v>
      </c>
      <c r="R114" s="28">
        <v>1.4077001529831721</v>
      </c>
      <c r="S114" s="28">
        <v>0.36839761851192798</v>
      </c>
      <c r="T114" s="28">
        <v>0.26170176776014881</v>
      </c>
      <c r="U114" s="28">
        <v>0.61656822543777245</v>
      </c>
      <c r="V114" s="27" t="s">
        <v>499</v>
      </c>
    </row>
    <row r="115" spans="1:22" x14ac:dyDescent="0.25">
      <c r="A115" s="27" t="s">
        <v>232</v>
      </c>
      <c r="B115" s="27">
        <v>8</v>
      </c>
      <c r="C115" s="27">
        <v>9</v>
      </c>
      <c r="D115" s="27">
        <v>8</v>
      </c>
      <c r="E115" s="27">
        <v>12</v>
      </c>
      <c r="F115" s="27">
        <v>13</v>
      </c>
      <c r="G115" s="27">
        <v>16</v>
      </c>
      <c r="H115" s="27">
        <v>16</v>
      </c>
      <c r="I115" s="27">
        <v>14</v>
      </c>
      <c r="J115" s="27">
        <v>14.5</v>
      </c>
      <c r="K115" s="27">
        <v>1.5</v>
      </c>
      <c r="L115" s="28">
        <v>0.58620689655172409</v>
      </c>
      <c r="M115" s="28">
        <v>6.9760476308549951E-2</v>
      </c>
      <c r="N115" s="28">
        <v>0.1190031654675264</v>
      </c>
      <c r="O115" s="28">
        <v>0.68965517241379315</v>
      </c>
      <c r="P115" s="28">
        <v>0.15528968102082771</v>
      </c>
      <c r="Q115" s="28">
        <v>0.22517003748020009</v>
      </c>
      <c r="R115" s="28">
        <v>1.0344827586206899</v>
      </c>
      <c r="S115" s="28">
        <v>0.1273128067949981</v>
      </c>
      <c r="T115" s="28">
        <v>0.12306904656849819</v>
      </c>
      <c r="U115" s="28">
        <v>0.46724224951622467</v>
      </c>
      <c r="V115" s="27" t="s">
        <v>498</v>
      </c>
    </row>
    <row r="116" spans="1:22" x14ac:dyDescent="0.25">
      <c r="A116" s="27" t="s">
        <v>234</v>
      </c>
      <c r="B116" s="27">
        <v>10</v>
      </c>
      <c r="C116" s="27">
        <v>6</v>
      </c>
      <c r="D116" s="27">
        <v>16</v>
      </c>
      <c r="E116" s="27">
        <v>9</v>
      </c>
      <c r="F116" s="27">
        <v>13</v>
      </c>
      <c r="G116" s="27">
        <v>11</v>
      </c>
      <c r="H116" s="27">
        <v>10</v>
      </c>
      <c r="I116" s="27">
        <v>13</v>
      </c>
      <c r="J116" s="27">
        <v>12</v>
      </c>
      <c r="K116" s="27">
        <v>1</v>
      </c>
      <c r="L116" s="28">
        <v>0.66666666666666663</v>
      </c>
      <c r="M116" s="28">
        <v>0.1756820922315766</v>
      </c>
      <c r="N116" s="28">
        <v>0.26352313834736502</v>
      </c>
      <c r="O116" s="28">
        <v>1.041666666666667</v>
      </c>
      <c r="P116" s="28">
        <v>0.30431011964729843</v>
      </c>
      <c r="Q116" s="28">
        <v>0.29213771486140649</v>
      </c>
      <c r="R116" s="28">
        <v>0.95833333333333337</v>
      </c>
      <c r="S116" s="28">
        <v>0.14833339835620721</v>
      </c>
      <c r="T116" s="28">
        <v>0.15478267654560751</v>
      </c>
      <c r="U116" s="28">
        <v>0.71044352975437897</v>
      </c>
      <c r="V116" s="27" t="s">
        <v>500</v>
      </c>
    </row>
    <row r="117" spans="1:22" x14ac:dyDescent="0.25">
      <c r="A117" s="27" t="s">
        <v>236</v>
      </c>
      <c r="B117" s="27">
        <v>7</v>
      </c>
      <c r="C117" s="27">
        <v>4</v>
      </c>
      <c r="D117" s="27">
        <v>5</v>
      </c>
      <c r="E117" s="27">
        <v>7</v>
      </c>
      <c r="F117" s="27">
        <v>7</v>
      </c>
      <c r="G117" s="27">
        <v>6</v>
      </c>
      <c r="H117" s="27">
        <v>4</v>
      </c>
      <c r="I117" s="27">
        <v>12</v>
      </c>
      <c r="J117" s="27">
        <v>6.5</v>
      </c>
      <c r="K117" s="27">
        <v>0.5</v>
      </c>
      <c r="L117" s="28">
        <v>0.84615384615384615</v>
      </c>
      <c r="M117" s="28">
        <v>0.23977277620538229</v>
      </c>
      <c r="N117" s="28">
        <v>0.28336782642454278</v>
      </c>
      <c r="O117" s="28">
        <v>0.92307692307692313</v>
      </c>
      <c r="P117" s="28">
        <v>0.1694416693878858</v>
      </c>
      <c r="Q117" s="28">
        <v>0.18356180850354301</v>
      </c>
      <c r="R117" s="28">
        <v>1.2307692307692311</v>
      </c>
      <c r="S117" s="28">
        <v>0.62262468345400734</v>
      </c>
      <c r="T117" s="28">
        <v>0.50588255530638093</v>
      </c>
      <c r="U117" s="28">
        <v>0.97281219023446663</v>
      </c>
      <c r="V117" s="27" t="s">
        <v>500</v>
      </c>
    </row>
    <row r="118" spans="1:22" x14ac:dyDescent="0.25">
      <c r="A118" s="27" t="s">
        <v>238</v>
      </c>
      <c r="B118" s="27">
        <v>1229</v>
      </c>
      <c r="C118" s="27">
        <v>743</v>
      </c>
      <c r="D118" s="27">
        <v>1137</v>
      </c>
      <c r="E118" s="27">
        <v>1133</v>
      </c>
      <c r="F118" s="27">
        <v>1144</v>
      </c>
      <c r="G118" s="27">
        <v>1027</v>
      </c>
      <c r="H118" s="27">
        <v>1727</v>
      </c>
      <c r="I118" s="27">
        <v>2597</v>
      </c>
      <c r="J118" s="27">
        <v>1085.5</v>
      </c>
      <c r="K118" s="27">
        <v>58.5</v>
      </c>
      <c r="L118" s="28">
        <v>0.90833717181022566</v>
      </c>
      <c r="M118" s="28">
        <v>0.2291497657936378</v>
      </c>
      <c r="N118" s="28">
        <v>0.25227390544522699</v>
      </c>
      <c r="O118" s="28">
        <v>1.045601105481345</v>
      </c>
      <c r="P118" s="28">
        <v>5.6379873745251372E-2</v>
      </c>
      <c r="Q118" s="28">
        <v>5.3921015815392388E-2</v>
      </c>
      <c r="R118" s="28">
        <v>1.9917088899124831</v>
      </c>
      <c r="S118" s="28">
        <v>0.41486322398511399</v>
      </c>
      <c r="T118" s="28">
        <v>0.20829511083988961</v>
      </c>
      <c r="U118" s="28">
        <v>0.51449003210050892</v>
      </c>
      <c r="V118" s="27" t="s">
        <v>498</v>
      </c>
    </row>
    <row r="119" spans="1:22" x14ac:dyDescent="0.25">
      <c r="A119" s="27" t="s">
        <v>240</v>
      </c>
      <c r="B119" s="27">
        <v>177</v>
      </c>
      <c r="C119" s="27">
        <v>107</v>
      </c>
      <c r="D119" s="27">
        <v>183</v>
      </c>
      <c r="E119" s="27">
        <v>174</v>
      </c>
      <c r="F119" s="27">
        <v>177</v>
      </c>
      <c r="G119" s="27">
        <v>179</v>
      </c>
      <c r="H119" s="27">
        <v>221</v>
      </c>
      <c r="I119" s="27">
        <v>336</v>
      </c>
      <c r="J119" s="27">
        <v>178</v>
      </c>
      <c r="K119" s="27">
        <v>1</v>
      </c>
      <c r="L119" s="28">
        <v>0.797752808988764</v>
      </c>
      <c r="M119" s="28">
        <v>0.19668028305852009</v>
      </c>
      <c r="N119" s="28">
        <v>0.24654289003110269</v>
      </c>
      <c r="O119" s="28">
        <v>1.002808988764045</v>
      </c>
      <c r="P119" s="28">
        <v>2.5901024715272569E-2</v>
      </c>
      <c r="Q119" s="28">
        <v>2.5828472825313819E-2</v>
      </c>
      <c r="R119" s="28">
        <v>1.564606741573034</v>
      </c>
      <c r="S119" s="28">
        <v>0.32315327509970981</v>
      </c>
      <c r="T119" s="28">
        <v>0.20653961568311791</v>
      </c>
      <c r="U119" s="28">
        <v>0.4789109785395344</v>
      </c>
      <c r="V119" s="27" t="s">
        <v>498</v>
      </c>
    </row>
    <row r="120" spans="1:22" x14ac:dyDescent="0.25">
      <c r="A120" s="27" t="s">
        <v>242</v>
      </c>
      <c r="B120" s="27">
        <v>196</v>
      </c>
      <c r="C120" s="27">
        <v>147</v>
      </c>
      <c r="D120" s="27">
        <v>217</v>
      </c>
      <c r="E120" s="27">
        <v>192</v>
      </c>
      <c r="F120" s="27">
        <v>214</v>
      </c>
      <c r="G120" s="27">
        <v>226</v>
      </c>
      <c r="H120" s="27">
        <v>250</v>
      </c>
      <c r="I120" s="27">
        <v>334</v>
      </c>
      <c r="J120" s="27">
        <v>220</v>
      </c>
      <c r="K120" s="27">
        <v>6</v>
      </c>
      <c r="L120" s="28">
        <v>0.77954545454545454</v>
      </c>
      <c r="M120" s="28">
        <v>0.11337487005699221</v>
      </c>
      <c r="N120" s="28">
        <v>0.14543715109351771</v>
      </c>
      <c r="O120" s="28">
        <v>0.92954545454545456</v>
      </c>
      <c r="P120" s="28">
        <v>6.2217289702303953E-2</v>
      </c>
      <c r="Q120" s="28">
        <v>6.6933025596610601E-2</v>
      </c>
      <c r="R120" s="28">
        <v>1.3272727272727269</v>
      </c>
      <c r="S120" s="28">
        <v>0.1943105795499723</v>
      </c>
      <c r="T120" s="28">
        <v>0.14639838185271881</v>
      </c>
      <c r="U120" s="28">
        <v>0.35876855854284712</v>
      </c>
      <c r="V120" s="27" t="s">
        <v>501</v>
      </c>
    </row>
    <row r="121" spans="1:22" x14ac:dyDescent="0.25">
      <c r="A121" s="27" t="s">
        <v>244</v>
      </c>
      <c r="B121" s="27">
        <v>3068</v>
      </c>
      <c r="C121" s="27">
        <v>2268</v>
      </c>
      <c r="D121" s="27">
        <v>3259</v>
      </c>
      <c r="E121" s="27">
        <v>2742</v>
      </c>
      <c r="F121" s="27">
        <v>2761</v>
      </c>
      <c r="G121" s="27">
        <v>3553</v>
      </c>
      <c r="H121" s="27">
        <v>6008</v>
      </c>
      <c r="I121" s="27">
        <v>4888</v>
      </c>
      <c r="J121" s="27">
        <v>3157</v>
      </c>
      <c r="K121" s="27">
        <v>396</v>
      </c>
      <c r="L121" s="28">
        <v>0.84510611339879638</v>
      </c>
      <c r="M121" s="28">
        <v>0.16519952982103239</v>
      </c>
      <c r="N121" s="28">
        <v>0.19547785443965501</v>
      </c>
      <c r="O121" s="28">
        <v>0.95042762115932844</v>
      </c>
      <c r="P121" s="28">
        <v>0.14462840105739361</v>
      </c>
      <c r="Q121" s="28">
        <v>0.15217192539183191</v>
      </c>
      <c r="R121" s="28">
        <v>1.7256889452011399</v>
      </c>
      <c r="S121" s="28">
        <v>0.27985898227410722</v>
      </c>
      <c r="T121" s="28">
        <v>0.16217232140957349</v>
      </c>
      <c r="U121" s="28">
        <v>0.50982210124106042</v>
      </c>
      <c r="V121" s="27" t="s">
        <v>498</v>
      </c>
    </row>
    <row r="122" spans="1:22" x14ac:dyDescent="0.25">
      <c r="A122" s="27" t="s">
        <v>246</v>
      </c>
      <c r="B122" s="27">
        <v>594</v>
      </c>
      <c r="C122" s="27">
        <v>453</v>
      </c>
      <c r="D122" s="27">
        <v>494</v>
      </c>
      <c r="E122" s="27">
        <v>503</v>
      </c>
      <c r="F122" s="27">
        <v>516</v>
      </c>
      <c r="G122" s="27">
        <v>510</v>
      </c>
      <c r="H122" s="27">
        <v>645</v>
      </c>
      <c r="I122" s="27">
        <v>945</v>
      </c>
      <c r="J122" s="27">
        <v>513</v>
      </c>
      <c r="K122" s="27">
        <v>3</v>
      </c>
      <c r="L122" s="28">
        <v>1.0204678362573101</v>
      </c>
      <c r="M122" s="28">
        <v>0.13755640962516941</v>
      </c>
      <c r="N122" s="28">
        <v>0.1347973985438623</v>
      </c>
      <c r="O122" s="28">
        <v>0.97173489278752434</v>
      </c>
      <c r="P122" s="28">
        <v>1.045176443007664E-2</v>
      </c>
      <c r="Q122" s="28">
        <v>1.0755777638173151E-2</v>
      </c>
      <c r="R122" s="28">
        <v>1.5497076023391809</v>
      </c>
      <c r="S122" s="28">
        <v>0.29253807117920499</v>
      </c>
      <c r="T122" s="28">
        <v>0.18876984970431721</v>
      </c>
      <c r="U122" s="28">
        <v>0.33432302588635271</v>
      </c>
      <c r="V122" s="27" t="s">
        <v>501</v>
      </c>
    </row>
    <row r="123" spans="1:22" x14ac:dyDescent="0.25">
      <c r="A123" s="27" t="s">
        <v>248</v>
      </c>
      <c r="B123" s="27">
        <v>185</v>
      </c>
      <c r="C123" s="27">
        <v>110</v>
      </c>
      <c r="D123" s="27">
        <v>167</v>
      </c>
      <c r="E123" s="27">
        <v>184</v>
      </c>
      <c r="F123" s="27">
        <v>185</v>
      </c>
      <c r="G123" s="27">
        <v>155</v>
      </c>
      <c r="H123" s="27">
        <v>192</v>
      </c>
      <c r="I123" s="27">
        <v>299</v>
      </c>
      <c r="J123" s="27">
        <v>170</v>
      </c>
      <c r="K123" s="27">
        <v>15</v>
      </c>
      <c r="L123" s="28">
        <v>0.86764705882352944</v>
      </c>
      <c r="M123" s="28">
        <v>0.23349552052223591</v>
      </c>
      <c r="N123" s="28">
        <v>0.26911348127986512</v>
      </c>
      <c r="O123" s="28">
        <v>1.0323529411764709</v>
      </c>
      <c r="P123" s="28">
        <v>0.1039104508516587</v>
      </c>
      <c r="Q123" s="28">
        <v>0.10065399797596571</v>
      </c>
      <c r="R123" s="28">
        <v>1.4441176470588239</v>
      </c>
      <c r="S123" s="28">
        <v>0.3395234829989181</v>
      </c>
      <c r="T123" s="28">
        <v>0.2351079108342814</v>
      </c>
      <c r="U123" s="28">
        <v>0.60487539009011215</v>
      </c>
      <c r="V123" s="27" t="s">
        <v>499</v>
      </c>
    </row>
    <row r="124" spans="1:22" x14ac:dyDescent="0.25">
      <c r="A124" s="27" t="s">
        <v>250</v>
      </c>
      <c r="B124" s="27">
        <v>9</v>
      </c>
      <c r="C124" s="27">
        <v>12</v>
      </c>
      <c r="D124" s="27">
        <v>5</v>
      </c>
      <c r="E124" s="27">
        <v>11</v>
      </c>
      <c r="F124" s="27">
        <v>10</v>
      </c>
      <c r="G124" s="27">
        <v>6</v>
      </c>
      <c r="H124" s="27">
        <v>13</v>
      </c>
      <c r="I124" s="27">
        <v>5</v>
      </c>
      <c r="J124" s="27">
        <v>8</v>
      </c>
      <c r="K124" s="27">
        <v>2</v>
      </c>
      <c r="L124" s="28">
        <v>1.3125</v>
      </c>
      <c r="M124" s="28">
        <v>0.37791833195149449</v>
      </c>
      <c r="N124" s="28">
        <v>0.28793777672494819</v>
      </c>
      <c r="O124" s="28">
        <v>1</v>
      </c>
      <c r="P124" s="28">
        <v>0.45069390943299859</v>
      </c>
      <c r="Q124" s="28">
        <v>0.45069390943299859</v>
      </c>
      <c r="R124" s="28">
        <v>1.125</v>
      </c>
      <c r="S124" s="28">
        <v>0.57367374220893186</v>
      </c>
      <c r="T124" s="28">
        <v>0.50993221529682831</v>
      </c>
      <c r="U124" s="28">
        <v>1.2485639014547749</v>
      </c>
      <c r="V124" s="27" t="s">
        <v>500</v>
      </c>
    </row>
    <row r="125" spans="1:22" x14ac:dyDescent="0.25">
      <c r="A125" s="27" t="s">
        <v>252</v>
      </c>
      <c r="B125" s="27">
        <v>7</v>
      </c>
      <c r="C125" s="27">
        <v>8</v>
      </c>
      <c r="D125" s="27">
        <v>4</v>
      </c>
      <c r="E125" s="27">
        <v>8</v>
      </c>
      <c r="F125" s="27">
        <v>7</v>
      </c>
      <c r="G125" s="27">
        <v>5</v>
      </c>
      <c r="H125" s="27">
        <v>3</v>
      </c>
      <c r="I125" s="27">
        <v>8</v>
      </c>
      <c r="J125" s="27">
        <v>6</v>
      </c>
      <c r="K125" s="27">
        <v>1</v>
      </c>
      <c r="L125" s="28">
        <v>1.25</v>
      </c>
      <c r="M125" s="28">
        <v>0.22438186696393769</v>
      </c>
      <c r="N125" s="28">
        <v>0.17950549357115009</v>
      </c>
      <c r="O125" s="28">
        <v>1</v>
      </c>
      <c r="P125" s="28">
        <v>0.37267799624996489</v>
      </c>
      <c r="Q125" s="28">
        <v>0.37267799624996489</v>
      </c>
      <c r="R125" s="28">
        <v>0.91666666666666663</v>
      </c>
      <c r="S125" s="28">
        <v>0.44379292524084601</v>
      </c>
      <c r="T125" s="28">
        <v>0.48413773662637749</v>
      </c>
      <c r="U125" s="28">
        <v>1.036321226447493</v>
      </c>
      <c r="V125" s="27" t="s">
        <v>500</v>
      </c>
    </row>
    <row r="126" spans="1:22" x14ac:dyDescent="0.25">
      <c r="A126" s="27" t="s">
        <v>254</v>
      </c>
      <c r="B126" s="27">
        <v>209</v>
      </c>
      <c r="C126" s="27">
        <v>113</v>
      </c>
      <c r="D126" s="27">
        <v>245</v>
      </c>
      <c r="E126" s="27">
        <v>159</v>
      </c>
      <c r="F126" s="27">
        <v>144</v>
      </c>
      <c r="G126" s="27">
        <v>204</v>
      </c>
      <c r="H126" s="27">
        <v>420</v>
      </c>
      <c r="I126" s="27">
        <v>299</v>
      </c>
      <c r="J126" s="27">
        <v>174</v>
      </c>
      <c r="K126" s="27">
        <v>30</v>
      </c>
      <c r="L126" s="28">
        <v>0.92528735632183912</v>
      </c>
      <c r="M126" s="28">
        <v>0.3186697926304104</v>
      </c>
      <c r="N126" s="28">
        <v>0.34440089389870437</v>
      </c>
      <c r="O126" s="28">
        <v>1.1609195402298851</v>
      </c>
      <c r="P126" s="28">
        <v>0.31801716535327851</v>
      </c>
      <c r="Q126" s="28">
        <v>0.27393557807658642</v>
      </c>
      <c r="R126" s="28">
        <v>2.0660919540229878</v>
      </c>
      <c r="S126" s="28">
        <v>0.49778583489628753</v>
      </c>
      <c r="T126" s="28">
        <v>0.24093111341294579</v>
      </c>
      <c r="U126" s="28">
        <v>0.85926758538823667</v>
      </c>
      <c r="V126" s="27" t="s">
        <v>500</v>
      </c>
    </row>
    <row r="127" spans="1:22" x14ac:dyDescent="0.25">
      <c r="A127" s="27" t="s">
        <v>256</v>
      </c>
      <c r="B127" s="27">
        <v>75</v>
      </c>
      <c r="C127" s="27">
        <v>48</v>
      </c>
      <c r="D127" s="27">
        <v>66</v>
      </c>
      <c r="E127" s="27">
        <v>54</v>
      </c>
      <c r="F127" s="27">
        <v>36</v>
      </c>
      <c r="G127" s="27">
        <v>58</v>
      </c>
      <c r="H127" s="27">
        <v>90</v>
      </c>
      <c r="I127" s="27">
        <v>111</v>
      </c>
      <c r="J127" s="27">
        <v>47</v>
      </c>
      <c r="K127" s="27">
        <v>11</v>
      </c>
      <c r="L127" s="28">
        <v>1.308510638297872</v>
      </c>
      <c r="M127" s="28">
        <v>0.41986989025416882</v>
      </c>
      <c r="N127" s="28">
        <v>0.32087617629180382</v>
      </c>
      <c r="O127" s="28">
        <v>1.2765957446808509</v>
      </c>
      <c r="P127" s="28">
        <v>0.32490782906939569</v>
      </c>
      <c r="Q127" s="28">
        <v>0.2545111327710266</v>
      </c>
      <c r="R127" s="28">
        <v>2.1382978723404249</v>
      </c>
      <c r="S127" s="28">
        <v>0.54805324536272459</v>
      </c>
      <c r="T127" s="28">
        <v>0.25630350778157268</v>
      </c>
      <c r="U127" s="28">
        <v>0.83169081684440305</v>
      </c>
      <c r="V127" s="27" t="s">
        <v>500</v>
      </c>
    </row>
    <row r="128" spans="1:22" x14ac:dyDescent="0.25">
      <c r="A128" s="27" t="s">
        <v>258</v>
      </c>
      <c r="B128" s="27">
        <v>427</v>
      </c>
      <c r="C128" s="27">
        <v>327</v>
      </c>
      <c r="D128" s="27">
        <v>402</v>
      </c>
      <c r="E128" s="27">
        <v>345</v>
      </c>
      <c r="F128" s="27">
        <v>358</v>
      </c>
      <c r="G128" s="27">
        <v>414</v>
      </c>
      <c r="H128" s="27">
        <v>645</v>
      </c>
      <c r="I128" s="27">
        <v>632</v>
      </c>
      <c r="J128" s="27">
        <v>386</v>
      </c>
      <c r="K128" s="27">
        <v>28</v>
      </c>
      <c r="L128" s="28">
        <v>0.97668393782383423</v>
      </c>
      <c r="M128" s="28">
        <v>0.14764263540664641</v>
      </c>
      <c r="N128" s="28">
        <v>0.1511672606550809</v>
      </c>
      <c r="O128" s="28">
        <v>0.96761658031088082</v>
      </c>
      <c r="P128" s="28">
        <v>0.1018729462687169</v>
      </c>
      <c r="Q128" s="28">
        <v>0.10528234875428311</v>
      </c>
      <c r="R128" s="28">
        <v>1.6541450777202069</v>
      </c>
      <c r="S128" s="28">
        <v>0.1211656567499666</v>
      </c>
      <c r="T128" s="28">
        <v>7.3249715748609417E-2</v>
      </c>
      <c r="U128" s="28">
        <v>0.3296993251579734</v>
      </c>
      <c r="V128" s="27" t="s">
        <v>501</v>
      </c>
    </row>
    <row r="129" spans="1:22" x14ac:dyDescent="0.25">
      <c r="A129" s="27" t="s">
        <v>260</v>
      </c>
      <c r="B129" s="27">
        <v>17</v>
      </c>
      <c r="C129" s="27">
        <v>6</v>
      </c>
      <c r="D129" s="27">
        <v>12</v>
      </c>
      <c r="E129" s="27">
        <v>9</v>
      </c>
      <c r="F129" s="27">
        <v>13</v>
      </c>
      <c r="G129" s="27">
        <v>12</v>
      </c>
      <c r="H129" s="27">
        <v>11</v>
      </c>
      <c r="I129" s="27">
        <v>17</v>
      </c>
      <c r="J129" s="27">
        <v>12.5</v>
      </c>
      <c r="K129" s="27">
        <v>0.5</v>
      </c>
      <c r="L129" s="28">
        <v>0.92</v>
      </c>
      <c r="M129" s="28">
        <v>0.4415362272792574</v>
      </c>
      <c r="N129" s="28">
        <v>0.47993068182527981</v>
      </c>
      <c r="O129" s="28">
        <v>0.84</v>
      </c>
      <c r="P129" s="28">
        <v>0.1246152478631728</v>
      </c>
      <c r="Q129" s="28">
        <v>0.14835148555139621</v>
      </c>
      <c r="R129" s="28">
        <v>1.1200000000000001</v>
      </c>
      <c r="S129" s="28">
        <v>0.2441455303707197</v>
      </c>
      <c r="T129" s="28">
        <v>0.21798708068814249</v>
      </c>
      <c r="U129" s="28">
        <v>0.84626924806481851</v>
      </c>
      <c r="V129" s="27" t="s">
        <v>500</v>
      </c>
    </row>
    <row r="130" spans="1:22" x14ac:dyDescent="0.25">
      <c r="A130" s="27" t="s">
        <v>262</v>
      </c>
      <c r="B130" s="27">
        <v>644</v>
      </c>
      <c r="C130" s="27">
        <v>545</v>
      </c>
      <c r="D130" s="27">
        <v>532</v>
      </c>
      <c r="E130" s="27">
        <v>548</v>
      </c>
      <c r="F130" s="27">
        <v>512</v>
      </c>
      <c r="G130" s="27">
        <v>571</v>
      </c>
      <c r="H130" s="27">
        <v>841</v>
      </c>
      <c r="I130" s="27">
        <v>938</v>
      </c>
      <c r="J130" s="27">
        <v>541.5</v>
      </c>
      <c r="K130" s="27">
        <v>29.5</v>
      </c>
      <c r="L130" s="28">
        <v>1.0978762696214219</v>
      </c>
      <c r="M130" s="28">
        <v>0.1092409148281315</v>
      </c>
      <c r="N130" s="28">
        <v>9.9502027551611832E-2</v>
      </c>
      <c r="O130" s="28">
        <v>0.99722991689750695</v>
      </c>
      <c r="P130" s="28">
        <v>5.6300354802815172E-2</v>
      </c>
      <c r="Q130" s="28">
        <v>5.6456744677267433E-2</v>
      </c>
      <c r="R130" s="28">
        <v>1.642659279778393</v>
      </c>
      <c r="S130" s="28">
        <v>0.12661123343029801</v>
      </c>
      <c r="T130" s="28">
        <v>7.707699033446469E-2</v>
      </c>
      <c r="U130" s="28">
        <v>0.23303576256334399</v>
      </c>
      <c r="V130" s="27" t="s">
        <v>502</v>
      </c>
    </row>
    <row r="131" spans="1:22" x14ac:dyDescent="0.25">
      <c r="A131" s="27" t="s">
        <v>264</v>
      </c>
      <c r="B131" s="27">
        <v>7</v>
      </c>
      <c r="C131" s="27">
        <v>4</v>
      </c>
      <c r="D131" s="27">
        <v>7</v>
      </c>
      <c r="E131" s="27">
        <v>7</v>
      </c>
      <c r="F131" s="27">
        <v>5</v>
      </c>
      <c r="G131" s="27">
        <v>6</v>
      </c>
      <c r="H131" s="27">
        <v>10</v>
      </c>
      <c r="I131" s="27">
        <v>14</v>
      </c>
      <c r="J131" s="27">
        <v>5.5</v>
      </c>
      <c r="K131" s="27">
        <v>0.5</v>
      </c>
      <c r="L131" s="28">
        <v>1</v>
      </c>
      <c r="M131" s="28">
        <v>0.28747978728803453</v>
      </c>
      <c r="N131" s="28">
        <v>0.28747978728803453</v>
      </c>
      <c r="O131" s="28">
        <v>1.2727272727272729</v>
      </c>
      <c r="P131" s="28">
        <v>0.11570247933884301</v>
      </c>
      <c r="Q131" s="28">
        <v>9.0909090909090912E-2</v>
      </c>
      <c r="R131" s="28">
        <v>2.1818181818181821</v>
      </c>
      <c r="S131" s="28">
        <v>0.41421368879807158</v>
      </c>
      <c r="T131" s="28">
        <v>0.1898479406991162</v>
      </c>
      <c r="U131" s="28">
        <v>0.56823681889624156</v>
      </c>
      <c r="V131" s="27" t="s">
        <v>499</v>
      </c>
    </row>
    <row r="132" spans="1:22" x14ac:dyDescent="0.25">
      <c r="A132" s="27" t="s">
        <v>266</v>
      </c>
      <c r="B132" s="27">
        <v>15</v>
      </c>
      <c r="C132" s="27">
        <v>13</v>
      </c>
      <c r="D132" s="27">
        <v>16</v>
      </c>
      <c r="E132" s="27">
        <v>15</v>
      </c>
      <c r="F132" s="27">
        <v>12</v>
      </c>
      <c r="G132" s="27">
        <v>18</v>
      </c>
      <c r="H132" s="27">
        <v>17</v>
      </c>
      <c r="I132" s="27">
        <v>20</v>
      </c>
      <c r="J132" s="27">
        <v>15</v>
      </c>
      <c r="K132" s="27">
        <v>3</v>
      </c>
      <c r="L132" s="28">
        <v>0.93333333333333335</v>
      </c>
      <c r="M132" s="28">
        <v>0.1982142499642468</v>
      </c>
      <c r="N132" s="28">
        <v>0.2123724106759787</v>
      </c>
      <c r="O132" s="28">
        <v>1.033333333333333</v>
      </c>
      <c r="P132" s="28">
        <v>0.20933757957476781</v>
      </c>
      <c r="Q132" s="28">
        <v>0.20258475442719459</v>
      </c>
      <c r="R132" s="28">
        <v>1.2333333333333329</v>
      </c>
      <c r="S132" s="28">
        <v>0.26616619703569511</v>
      </c>
      <c r="T132" s="28">
        <v>0.21581043002894201</v>
      </c>
      <c r="U132" s="28">
        <v>0.63076759513211522</v>
      </c>
      <c r="V132" s="27" t="s">
        <v>499</v>
      </c>
    </row>
    <row r="133" spans="1:22" x14ac:dyDescent="0.25">
      <c r="A133" s="27" t="s">
        <v>268</v>
      </c>
      <c r="B133" s="27">
        <v>67</v>
      </c>
      <c r="C133" s="27">
        <v>47</v>
      </c>
      <c r="D133" s="27">
        <v>63</v>
      </c>
      <c r="E133" s="27">
        <v>79</v>
      </c>
      <c r="F133" s="27">
        <v>69</v>
      </c>
      <c r="G133" s="27">
        <v>86</v>
      </c>
      <c r="H133" s="27">
        <v>100</v>
      </c>
      <c r="I133" s="27">
        <v>110</v>
      </c>
      <c r="J133" s="27">
        <v>77.5</v>
      </c>
      <c r="K133" s="27">
        <v>8.5</v>
      </c>
      <c r="L133" s="28">
        <v>0.73548387096774193</v>
      </c>
      <c r="M133" s="28">
        <v>0.1521720171791352</v>
      </c>
      <c r="N133" s="28">
        <v>0.2069005496733855</v>
      </c>
      <c r="O133" s="28">
        <v>0.91612903225806452</v>
      </c>
      <c r="P133" s="28">
        <v>0.14405391300313211</v>
      </c>
      <c r="Q133" s="28">
        <v>0.15724194729215121</v>
      </c>
      <c r="R133" s="28">
        <v>1.354838709677419</v>
      </c>
      <c r="S133" s="28">
        <v>0.16199650714371119</v>
      </c>
      <c r="T133" s="28">
        <v>0.11956885051083441</v>
      </c>
      <c r="U133" s="28">
        <v>0.48371134747637112</v>
      </c>
      <c r="V133" s="27" t="s">
        <v>498</v>
      </c>
    </row>
    <row r="134" spans="1:22" x14ac:dyDescent="0.25">
      <c r="A134" s="27" t="s">
        <v>268</v>
      </c>
      <c r="B134" s="27">
        <v>73</v>
      </c>
      <c r="C134" s="27">
        <v>38</v>
      </c>
      <c r="D134" s="27">
        <v>51</v>
      </c>
      <c r="E134" s="27">
        <v>58</v>
      </c>
      <c r="F134" s="27">
        <v>68</v>
      </c>
      <c r="G134" s="27">
        <v>66</v>
      </c>
      <c r="H134" s="27">
        <v>119</v>
      </c>
      <c r="I134" s="27">
        <v>66</v>
      </c>
      <c r="J134" s="27">
        <v>67</v>
      </c>
      <c r="K134" s="27">
        <v>1</v>
      </c>
      <c r="L134" s="28">
        <v>0.82835820895522383</v>
      </c>
      <c r="M134" s="28">
        <v>0.2614864790591504</v>
      </c>
      <c r="N134" s="28">
        <v>0.31566836210744292</v>
      </c>
      <c r="O134" s="28">
        <v>0.81343283582089554</v>
      </c>
      <c r="P134" s="28">
        <v>5.363106932440747E-2</v>
      </c>
      <c r="Q134" s="28">
        <v>6.5931773297895416E-2</v>
      </c>
      <c r="R134" s="28">
        <v>1.380597014925373</v>
      </c>
      <c r="S134" s="28">
        <v>0.39605878809352651</v>
      </c>
      <c r="T134" s="28">
        <v>0.28687501407855431</v>
      </c>
      <c r="U134" s="28">
        <v>0.66847514948389253</v>
      </c>
      <c r="V134" s="27" t="s">
        <v>500</v>
      </c>
    </row>
    <row r="135" spans="1:22" x14ac:dyDescent="0.25">
      <c r="A135" s="27" t="s">
        <v>270</v>
      </c>
      <c r="B135" s="27">
        <v>10</v>
      </c>
      <c r="C135" s="27">
        <v>7</v>
      </c>
      <c r="D135" s="27">
        <v>14</v>
      </c>
      <c r="E135" s="27">
        <v>14</v>
      </c>
      <c r="F135" s="27">
        <v>14</v>
      </c>
      <c r="G135" s="27">
        <v>9</v>
      </c>
      <c r="H135" s="27">
        <v>19</v>
      </c>
      <c r="I135" s="27">
        <v>25</v>
      </c>
      <c r="J135" s="27">
        <v>11.5</v>
      </c>
      <c r="K135" s="27">
        <v>2.5</v>
      </c>
      <c r="L135" s="28">
        <v>0.73913043478260865</v>
      </c>
      <c r="M135" s="28">
        <v>0.20695764061877031</v>
      </c>
      <c r="N135" s="28">
        <v>0.28000151377833638</v>
      </c>
      <c r="O135" s="28">
        <v>1.2173913043478259</v>
      </c>
      <c r="P135" s="28">
        <v>0.26465028355387532</v>
      </c>
      <c r="Q135" s="28">
        <v>0.21739130434782611</v>
      </c>
      <c r="R135" s="28">
        <v>1.9130434782608701</v>
      </c>
      <c r="S135" s="28">
        <v>0.49092594843683229</v>
      </c>
      <c r="T135" s="28">
        <v>0.25662038213743499</v>
      </c>
      <c r="U135" s="28">
        <v>0.75401320026359753</v>
      </c>
      <c r="V135" s="27" t="s">
        <v>500</v>
      </c>
    </row>
    <row r="136" spans="1:22" x14ac:dyDescent="0.25">
      <c r="A136" s="27" t="s">
        <v>272</v>
      </c>
      <c r="B136" s="27">
        <v>20</v>
      </c>
      <c r="C136" s="27">
        <v>24</v>
      </c>
      <c r="D136" s="27">
        <v>36</v>
      </c>
      <c r="E136" s="27">
        <v>30</v>
      </c>
      <c r="F136" s="27">
        <v>21</v>
      </c>
      <c r="G136" s="27">
        <v>39</v>
      </c>
      <c r="H136" s="27">
        <v>56</v>
      </c>
      <c r="I136" s="27">
        <v>48</v>
      </c>
      <c r="J136" s="27">
        <v>30</v>
      </c>
      <c r="K136" s="27">
        <v>9</v>
      </c>
      <c r="L136" s="28">
        <v>0.73333333333333328</v>
      </c>
      <c r="M136" s="28">
        <v>0.2298791953275556</v>
      </c>
      <c r="N136" s="28">
        <v>0.31347162999212119</v>
      </c>
      <c r="O136" s="28">
        <v>1.1000000000000001</v>
      </c>
      <c r="P136" s="28">
        <v>0.34481879299133339</v>
      </c>
      <c r="Q136" s="28">
        <v>0.31347162999212119</v>
      </c>
      <c r="R136" s="28">
        <v>1.7333333333333329</v>
      </c>
      <c r="S136" s="28">
        <v>0.5368219237119306</v>
      </c>
      <c r="T136" s="28">
        <v>0.30970495598765219</v>
      </c>
      <c r="U136" s="28">
        <v>0.93664821597189474</v>
      </c>
      <c r="V136" s="27" t="s">
        <v>500</v>
      </c>
    </row>
    <row r="137" spans="1:22" x14ac:dyDescent="0.25">
      <c r="A137" s="27" t="s">
        <v>274</v>
      </c>
      <c r="B137" s="27">
        <v>1648</v>
      </c>
      <c r="C137" s="27">
        <v>1025</v>
      </c>
      <c r="D137" s="27">
        <v>1850</v>
      </c>
      <c r="E137" s="27">
        <v>1394</v>
      </c>
      <c r="F137" s="27">
        <v>1401</v>
      </c>
      <c r="G137" s="27">
        <v>1751</v>
      </c>
      <c r="H137" s="27">
        <v>2851</v>
      </c>
      <c r="I137" s="27">
        <v>2534</v>
      </c>
      <c r="J137" s="27">
        <v>1576</v>
      </c>
      <c r="K137" s="27">
        <v>175</v>
      </c>
      <c r="L137" s="28">
        <v>0.84803299492385786</v>
      </c>
      <c r="M137" s="28">
        <v>0.21893761651465071</v>
      </c>
      <c r="N137" s="28">
        <v>0.25817110634275309</v>
      </c>
      <c r="O137" s="28">
        <v>1.0291878172588831</v>
      </c>
      <c r="P137" s="28">
        <v>0.18436300420268381</v>
      </c>
      <c r="Q137" s="28">
        <v>0.17913446031037589</v>
      </c>
      <c r="R137" s="28">
        <v>1.7084390862944161</v>
      </c>
      <c r="S137" s="28">
        <v>0.2147159753526072</v>
      </c>
      <c r="T137" s="28">
        <v>0.12567962011354089</v>
      </c>
      <c r="U137" s="28">
        <v>0.56298518676666998</v>
      </c>
      <c r="V137" s="27" t="s">
        <v>499</v>
      </c>
    </row>
    <row r="138" spans="1:22" x14ac:dyDescent="0.25">
      <c r="A138" s="27" t="s">
        <v>276</v>
      </c>
      <c r="B138" s="27">
        <v>1239</v>
      </c>
      <c r="C138" s="27">
        <v>802</v>
      </c>
      <c r="D138" s="27">
        <v>1231</v>
      </c>
      <c r="E138" s="27">
        <v>1112</v>
      </c>
      <c r="F138" s="27">
        <v>1083</v>
      </c>
      <c r="G138" s="27">
        <v>1230</v>
      </c>
      <c r="H138" s="27">
        <v>1497</v>
      </c>
      <c r="I138" s="27">
        <v>1672</v>
      </c>
      <c r="J138" s="27">
        <v>1156.5</v>
      </c>
      <c r="K138" s="27">
        <v>73.5</v>
      </c>
      <c r="L138" s="28">
        <v>0.88240380458279288</v>
      </c>
      <c r="M138" s="28">
        <v>0.1970794989381954</v>
      </c>
      <c r="N138" s="28">
        <v>0.223343890761414</v>
      </c>
      <c r="O138" s="28">
        <v>1.0129701686121919</v>
      </c>
      <c r="P138" s="28">
        <v>8.2410405003551596E-2</v>
      </c>
      <c r="Q138" s="28">
        <v>8.1355214158435704E-2</v>
      </c>
      <c r="R138" s="28">
        <v>1.370082144401211</v>
      </c>
      <c r="S138" s="28">
        <v>0.1153525343337778</v>
      </c>
      <c r="T138" s="28">
        <v>8.4193881954568617E-2</v>
      </c>
      <c r="U138" s="28">
        <v>0.38889298687441831</v>
      </c>
      <c r="V138" s="27" t="s">
        <v>501</v>
      </c>
    </row>
    <row r="139" spans="1:22" x14ac:dyDescent="0.25">
      <c r="A139" s="27" t="s">
        <v>278</v>
      </c>
      <c r="B139" s="27">
        <v>281</v>
      </c>
      <c r="C139" s="27">
        <v>191</v>
      </c>
      <c r="D139" s="27">
        <v>294</v>
      </c>
      <c r="E139" s="27">
        <v>254</v>
      </c>
      <c r="F139" s="27">
        <v>226</v>
      </c>
      <c r="G139" s="27">
        <v>346</v>
      </c>
      <c r="H139" s="27">
        <v>550</v>
      </c>
      <c r="I139" s="27">
        <v>387</v>
      </c>
      <c r="J139" s="27">
        <v>286</v>
      </c>
      <c r="K139" s="27">
        <v>60</v>
      </c>
      <c r="L139" s="28">
        <v>0.82517482517482521</v>
      </c>
      <c r="M139" s="28">
        <v>0.23393381588870149</v>
      </c>
      <c r="N139" s="28">
        <v>0.28349606501766361</v>
      </c>
      <c r="O139" s="28">
        <v>0.95804195804195802</v>
      </c>
      <c r="P139" s="28">
        <v>0.2128058265687387</v>
      </c>
      <c r="Q139" s="28">
        <v>0.22212578977612871</v>
      </c>
      <c r="R139" s="28">
        <v>1.6381118881118879</v>
      </c>
      <c r="S139" s="28">
        <v>0.44643829863766799</v>
      </c>
      <c r="T139" s="28">
        <v>0.27253223780229041</v>
      </c>
      <c r="U139" s="28">
        <v>0.7781540925960827</v>
      </c>
      <c r="V139" s="27" t="s">
        <v>500</v>
      </c>
    </row>
    <row r="140" spans="1:22" x14ac:dyDescent="0.25">
      <c r="A140" s="27" t="s">
        <v>280</v>
      </c>
      <c r="B140" s="27">
        <v>82</v>
      </c>
      <c r="C140" s="27">
        <v>54</v>
      </c>
      <c r="D140" s="27">
        <v>91</v>
      </c>
      <c r="E140" s="27">
        <v>65</v>
      </c>
      <c r="F140" s="27">
        <v>94</v>
      </c>
      <c r="G140" s="27">
        <v>98</v>
      </c>
      <c r="H140" s="27">
        <v>151</v>
      </c>
      <c r="I140" s="27">
        <v>134</v>
      </c>
      <c r="J140" s="27">
        <v>96</v>
      </c>
      <c r="K140" s="27">
        <v>2</v>
      </c>
      <c r="L140" s="28">
        <v>0.70833333333333337</v>
      </c>
      <c r="M140" s="28">
        <v>0.14657806288953179</v>
      </c>
      <c r="N140" s="28">
        <v>0.20693373584404481</v>
      </c>
      <c r="O140" s="28">
        <v>0.8125</v>
      </c>
      <c r="P140" s="28">
        <v>0.1364705087602619</v>
      </c>
      <c r="Q140" s="28">
        <v>0.16796370308955311</v>
      </c>
      <c r="R140" s="28">
        <v>1.484375</v>
      </c>
      <c r="S140" s="28">
        <v>9.3786726927858582E-2</v>
      </c>
      <c r="T140" s="28">
        <v>6.3182637088241567E-2</v>
      </c>
      <c r="U140" s="28">
        <v>0.43808007602183952</v>
      </c>
      <c r="V140" s="27" t="s">
        <v>501</v>
      </c>
    </row>
    <row r="141" spans="1:22" x14ac:dyDescent="0.25">
      <c r="A141" s="27" t="s">
        <v>282</v>
      </c>
      <c r="B141" s="27">
        <v>21</v>
      </c>
      <c r="C141" s="27">
        <v>9</v>
      </c>
      <c r="D141" s="27">
        <v>6</v>
      </c>
      <c r="E141" s="27">
        <v>11</v>
      </c>
      <c r="F141" s="27">
        <v>21</v>
      </c>
      <c r="G141" s="27">
        <v>22</v>
      </c>
      <c r="H141" s="27">
        <v>18</v>
      </c>
      <c r="I141" s="27">
        <v>20</v>
      </c>
      <c r="J141" s="27">
        <v>21.5</v>
      </c>
      <c r="K141" s="27">
        <v>0.5</v>
      </c>
      <c r="L141" s="28">
        <v>0.69767441860465118</v>
      </c>
      <c r="M141" s="28">
        <v>0.27954102612372228</v>
      </c>
      <c r="N141" s="28">
        <v>0.40067547077733529</v>
      </c>
      <c r="O141" s="28">
        <v>0.39534883720930231</v>
      </c>
      <c r="P141" s="28">
        <v>0.11664199340627029</v>
      </c>
      <c r="Q141" s="28">
        <v>0.29503563038056602</v>
      </c>
      <c r="R141" s="28">
        <v>0.88372093023255816</v>
      </c>
      <c r="S141" s="28">
        <v>5.0849796748699438E-2</v>
      </c>
      <c r="T141" s="28">
        <v>5.754055947879147E-2</v>
      </c>
      <c r="U141" s="28">
        <v>0.7532516606366928</v>
      </c>
      <c r="V141" s="27" t="s">
        <v>500</v>
      </c>
    </row>
    <row r="142" spans="1:22" x14ac:dyDescent="0.25">
      <c r="A142" s="27" t="s">
        <v>284</v>
      </c>
      <c r="B142" s="27">
        <v>15</v>
      </c>
      <c r="C142" s="27">
        <v>10</v>
      </c>
      <c r="D142" s="27">
        <v>16</v>
      </c>
      <c r="E142" s="27">
        <v>11</v>
      </c>
      <c r="F142" s="27">
        <v>13</v>
      </c>
      <c r="G142" s="27">
        <v>10</v>
      </c>
      <c r="H142" s="27">
        <v>35</v>
      </c>
      <c r="I142" s="27">
        <v>25</v>
      </c>
      <c r="J142" s="27">
        <v>11.5</v>
      </c>
      <c r="K142" s="27">
        <v>1.5</v>
      </c>
      <c r="L142" s="28">
        <v>1.0869565217391299</v>
      </c>
      <c r="M142" s="28">
        <v>0.25953743322771228</v>
      </c>
      <c r="N142" s="28">
        <v>0.23877443856949529</v>
      </c>
      <c r="O142" s="28">
        <v>1.173913043478261</v>
      </c>
      <c r="P142" s="28">
        <v>0.26590305702106642</v>
      </c>
      <c r="Q142" s="28">
        <v>0.22651001153646391</v>
      </c>
      <c r="R142" s="28">
        <v>2.6086956521739131</v>
      </c>
      <c r="S142" s="28">
        <v>0.55210139381891232</v>
      </c>
      <c r="T142" s="28">
        <v>0.21163886763058309</v>
      </c>
      <c r="U142" s="28">
        <v>0.67692331773654224</v>
      </c>
      <c r="V142" s="27" t="s">
        <v>500</v>
      </c>
    </row>
    <row r="143" spans="1:22" x14ac:dyDescent="0.25">
      <c r="A143" s="27" t="s">
        <v>286</v>
      </c>
      <c r="B143" s="27">
        <v>7</v>
      </c>
      <c r="C143" s="27">
        <v>5</v>
      </c>
      <c r="D143" s="27">
        <v>5</v>
      </c>
      <c r="E143" s="27">
        <v>7</v>
      </c>
      <c r="F143" s="27">
        <v>6</v>
      </c>
      <c r="G143" s="27">
        <v>11</v>
      </c>
      <c r="H143" s="27">
        <v>9</v>
      </c>
      <c r="I143" s="27">
        <v>14</v>
      </c>
      <c r="J143" s="27">
        <v>8.5</v>
      </c>
      <c r="K143" s="27">
        <v>2.5</v>
      </c>
      <c r="L143" s="28">
        <v>0.70588235294117652</v>
      </c>
      <c r="M143" s="28">
        <v>0.23862892248535181</v>
      </c>
      <c r="N143" s="28">
        <v>0.33805764018758172</v>
      </c>
      <c r="O143" s="28">
        <v>0.70588235294117652</v>
      </c>
      <c r="P143" s="28">
        <v>0.23862892248535181</v>
      </c>
      <c r="Q143" s="28">
        <v>0.33805764018758172</v>
      </c>
      <c r="R143" s="28">
        <v>1.3529411764705881</v>
      </c>
      <c r="S143" s="28">
        <v>0.49482178706142188</v>
      </c>
      <c r="T143" s="28">
        <v>0.36573784261061609</v>
      </c>
      <c r="U143" s="28">
        <v>1.041853122985779</v>
      </c>
      <c r="V143" s="27" t="s">
        <v>500</v>
      </c>
    </row>
    <row r="144" spans="1:22" x14ac:dyDescent="0.25">
      <c r="A144" s="27" t="s">
        <v>288</v>
      </c>
      <c r="B144" s="27">
        <v>12</v>
      </c>
      <c r="C144" s="27">
        <v>4</v>
      </c>
      <c r="D144" s="27">
        <v>9</v>
      </c>
      <c r="E144" s="27">
        <v>11</v>
      </c>
      <c r="F144" s="27">
        <v>4</v>
      </c>
      <c r="G144" s="27">
        <v>7</v>
      </c>
      <c r="H144" s="27">
        <v>10</v>
      </c>
      <c r="I144" s="27">
        <v>10</v>
      </c>
      <c r="J144" s="27">
        <v>5.5</v>
      </c>
      <c r="K144" s="27">
        <v>1.5</v>
      </c>
      <c r="L144" s="28">
        <v>1.454545454545455</v>
      </c>
      <c r="M144" s="28">
        <v>0.82842737759614338</v>
      </c>
      <c r="N144" s="28">
        <v>0.56954382209734855</v>
      </c>
      <c r="O144" s="28">
        <v>1.8181818181818179</v>
      </c>
      <c r="P144" s="28">
        <v>0.52815025813786631</v>
      </c>
      <c r="Q144" s="28">
        <v>0.29048264197582652</v>
      </c>
      <c r="R144" s="28">
        <v>1.8181818181818179</v>
      </c>
      <c r="S144" s="28">
        <v>0.49586776859504128</v>
      </c>
      <c r="T144" s="28">
        <v>0.27272727272727271</v>
      </c>
      <c r="U144" s="28">
        <v>1.1327537368004481</v>
      </c>
      <c r="V144" s="27" t="s">
        <v>500</v>
      </c>
    </row>
    <row r="145" spans="1:22" x14ac:dyDescent="0.25">
      <c r="A145" s="27" t="s">
        <v>290</v>
      </c>
      <c r="B145" s="27">
        <v>17</v>
      </c>
      <c r="C145" s="27">
        <v>16</v>
      </c>
      <c r="D145" s="27">
        <v>25</v>
      </c>
      <c r="E145" s="27">
        <v>29</v>
      </c>
      <c r="F145" s="27">
        <v>22</v>
      </c>
      <c r="G145" s="27">
        <v>26</v>
      </c>
      <c r="H145" s="27">
        <v>34</v>
      </c>
      <c r="I145" s="27">
        <v>34</v>
      </c>
      <c r="J145" s="27">
        <v>24</v>
      </c>
      <c r="K145" s="27">
        <v>2</v>
      </c>
      <c r="L145" s="28">
        <v>0.6875</v>
      </c>
      <c r="M145" s="28">
        <v>6.0961978701664712E-2</v>
      </c>
      <c r="N145" s="28">
        <v>8.8671969020603217E-2</v>
      </c>
      <c r="O145" s="28">
        <v>1.125</v>
      </c>
      <c r="P145" s="28">
        <v>0.1254332768624197</v>
      </c>
      <c r="Q145" s="28">
        <v>0.1114962460999286</v>
      </c>
      <c r="R145" s="28">
        <v>1.416666666666667</v>
      </c>
      <c r="S145" s="28">
        <v>0.11805555555555559</v>
      </c>
      <c r="T145" s="28">
        <v>8.3333333333333329E-2</v>
      </c>
      <c r="U145" s="28">
        <v>0.28350154845386522</v>
      </c>
      <c r="V145" s="27" t="s">
        <v>502</v>
      </c>
    </row>
    <row r="146" spans="1:22" x14ac:dyDescent="0.25">
      <c r="A146" s="27" t="s">
        <v>292</v>
      </c>
      <c r="B146" s="27">
        <v>7</v>
      </c>
      <c r="C146" s="27">
        <v>8</v>
      </c>
      <c r="D146" s="27">
        <v>6</v>
      </c>
      <c r="E146" s="27">
        <v>9</v>
      </c>
      <c r="F146" s="27">
        <v>7</v>
      </c>
      <c r="G146" s="27">
        <v>11</v>
      </c>
      <c r="H146" s="27">
        <v>5</v>
      </c>
      <c r="I146" s="27">
        <v>12</v>
      </c>
      <c r="J146" s="27">
        <v>9</v>
      </c>
      <c r="K146" s="27">
        <v>2</v>
      </c>
      <c r="L146" s="28">
        <v>0.83333333333333337</v>
      </c>
      <c r="M146" s="28">
        <v>0.19333900942426949</v>
      </c>
      <c r="N146" s="28">
        <v>0.23200681130912329</v>
      </c>
      <c r="O146" s="28">
        <v>0.83333333333333337</v>
      </c>
      <c r="P146" s="28">
        <v>0.24914118605692059</v>
      </c>
      <c r="Q146" s="28">
        <v>0.29896942326830472</v>
      </c>
      <c r="R146" s="28">
        <v>0.94444444444444442</v>
      </c>
      <c r="S146" s="28">
        <v>0.44190805750852941</v>
      </c>
      <c r="T146" s="28">
        <v>0.46790264912667823</v>
      </c>
      <c r="U146" s="28">
        <v>0.99887888370410627</v>
      </c>
      <c r="V146" s="27" t="s">
        <v>500</v>
      </c>
    </row>
    <row r="147" spans="1:22" x14ac:dyDescent="0.25">
      <c r="A147" s="27" t="s">
        <v>294</v>
      </c>
      <c r="B147" s="27">
        <v>511</v>
      </c>
      <c r="C147" s="27">
        <v>277</v>
      </c>
      <c r="D147" s="27">
        <v>575</v>
      </c>
      <c r="E147" s="27">
        <v>429</v>
      </c>
      <c r="F147" s="27">
        <v>438</v>
      </c>
      <c r="G147" s="27">
        <v>552</v>
      </c>
      <c r="H147" s="27">
        <v>867</v>
      </c>
      <c r="I147" s="27">
        <v>686</v>
      </c>
      <c r="J147" s="27">
        <v>495</v>
      </c>
      <c r="K147" s="27">
        <v>57</v>
      </c>
      <c r="L147" s="28">
        <v>0.79595959595959598</v>
      </c>
      <c r="M147" s="28">
        <v>0.25351248963767881</v>
      </c>
      <c r="N147" s="28">
        <v>0.31849919383413949</v>
      </c>
      <c r="O147" s="28">
        <v>1.014141414141414</v>
      </c>
      <c r="P147" s="28">
        <v>0.18811260179789699</v>
      </c>
      <c r="Q147" s="28">
        <v>0.1854895177090817</v>
      </c>
      <c r="R147" s="28">
        <v>1.5686868686868689</v>
      </c>
      <c r="S147" s="28">
        <v>0.25701320482070372</v>
      </c>
      <c r="T147" s="28">
        <v>0.1638397120235007</v>
      </c>
      <c r="U147" s="28">
        <v>0.66782842356672201</v>
      </c>
      <c r="V147" s="27" t="s">
        <v>500</v>
      </c>
    </row>
    <row r="148" spans="1:22" x14ac:dyDescent="0.25">
      <c r="A148" s="27" t="s">
        <v>296</v>
      </c>
      <c r="B148" s="27">
        <v>336</v>
      </c>
      <c r="C148" s="27">
        <v>215</v>
      </c>
      <c r="D148" s="27">
        <v>317</v>
      </c>
      <c r="E148" s="27">
        <v>275</v>
      </c>
      <c r="F148" s="27">
        <v>312</v>
      </c>
      <c r="G148" s="27">
        <v>311</v>
      </c>
      <c r="H148" s="27">
        <v>579</v>
      </c>
      <c r="I148" s="27">
        <v>485</v>
      </c>
      <c r="J148" s="27">
        <v>311.5</v>
      </c>
      <c r="K148" s="27">
        <v>0.5</v>
      </c>
      <c r="L148" s="28">
        <v>0.884430176565008</v>
      </c>
      <c r="M148" s="28">
        <v>0.1942266970423685</v>
      </c>
      <c r="N148" s="28">
        <v>0.2196065921186853</v>
      </c>
      <c r="O148" s="28">
        <v>0.9502407704654896</v>
      </c>
      <c r="P148" s="28">
        <v>6.743298253458288E-2</v>
      </c>
      <c r="Q148" s="28">
        <v>7.0964101552441108E-2</v>
      </c>
      <c r="R148" s="28">
        <v>1.707865168539326</v>
      </c>
      <c r="S148" s="28">
        <v>0.15090772653564721</v>
      </c>
      <c r="T148" s="28">
        <v>8.83604451425829E-2</v>
      </c>
      <c r="U148" s="28">
        <v>0.37893113881370932</v>
      </c>
      <c r="V148" s="27" t="s">
        <v>501</v>
      </c>
    </row>
    <row r="149" spans="1:22" x14ac:dyDescent="0.25">
      <c r="A149" s="27" t="s">
        <v>298</v>
      </c>
      <c r="B149" s="27">
        <v>97</v>
      </c>
      <c r="C149" s="27">
        <v>82</v>
      </c>
      <c r="D149" s="27">
        <v>95</v>
      </c>
      <c r="E149" s="27">
        <v>87</v>
      </c>
      <c r="F149" s="27">
        <v>94</v>
      </c>
      <c r="G149" s="27">
        <v>85</v>
      </c>
      <c r="H149" s="27">
        <v>127</v>
      </c>
      <c r="I149" s="27">
        <v>133</v>
      </c>
      <c r="J149" s="27">
        <v>89.5</v>
      </c>
      <c r="K149" s="27">
        <v>4.5</v>
      </c>
      <c r="L149" s="28">
        <v>1</v>
      </c>
      <c r="M149" s="28">
        <v>9.772545075159722E-2</v>
      </c>
      <c r="N149" s="28">
        <v>9.772545075159722E-2</v>
      </c>
      <c r="O149" s="28">
        <v>1.016759776536313</v>
      </c>
      <c r="P149" s="28">
        <v>6.7903605623117175E-2</v>
      </c>
      <c r="Q149" s="28">
        <v>6.6784315420538323E-2</v>
      </c>
      <c r="R149" s="28">
        <v>1.4525139664804469</v>
      </c>
      <c r="S149" s="28">
        <v>8.0356393549907451E-2</v>
      </c>
      <c r="T149" s="28">
        <v>5.5322286328590133E-2</v>
      </c>
      <c r="U149" s="28">
        <v>0.21983205250072571</v>
      </c>
      <c r="V149" s="27" t="s">
        <v>502</v>
      </c>
    </row>
    <row r="150" spans="1:22" x14ac:dyDescent="0.25">
      <c r="A150" s="27" t="s">
        <v>300</v>
      </c>
      <c r="B150" s="27">
        <v>2116</v>
      </c>
      <c r="C150" s="27">
        <v>1250</v>
      </c>
      <c r="D150" s="27">
        <v>2034</v>
      </c>
      <c r="E150" s="27">
        <v>1972</v>
      </c>
      <c r="F150" s="27">
        <v>2048</v>
      </c>
      <c r="G150" s="27">
        <v>2272</v>
      </c>
      <c r="H150" s="27">
        <v>2420</v>
      </c>
      <c r="I150" s="27">
        <v>2902</v>
      </c>
      <c r="J150" s="27">
        <v>2160</v>
      </c>
      <c r="K150" s="27">
        <v>112</v>
      </c>
      <c r="L150" s="28">
        <v>0.77916666666666667</v>
      </c>
      <c r="M150" s="28">
        <v>0.2044936656097221</v>
      </c>
      <c r="N150" s="28">
        <v>0.26245176334937592</v>
      </c>
      <c r="O150" s="28">
        <v>0.92731481481481481</v>
      </c>
      <c r="P150" s="28">
        <v>5.0179175134441298E-2</v>
      </c>
      <c r="Q150" s="28">
        <v>5.4112340634245228E-2</v>
      </c>
      <c r="R150" s="28">
        <v>1.231944444444445</v>
      </c>
      <c r="S150" s="28">
        <v>0.12856612947661189</v>
      </c>
      <c r="T150" s="28">
        <v>0.104360330578535</v>
      </c>
      <c r="U150" s="28">
        <v>0.42092443456215622</v>
      </c>
      <c r="V150" s="27" t="s">
        <v>501</v>
      </c>
    </row>
    <row r="151" spans="1:22" x14ac:dyDescent="0.25">
      <c r="A151" s="27" t="s">
        <v>302</v>
      </c>
      <c r="B151" s="27">
        <v>20</v>
      </c>
      <c r="C151" s="27">
        <v>16</v>
      </c>
      <c r="D151" s="27">
        <v>17</v>
      </c>
      <c r="E151" s="27">
        <v>20</v>
      </c>
      <c r="F151" s="27">
        <v>24</v>
      </c>
      <c r="G151" s="27">
        <v>19</v>
      </c>
      <c r="H151" s="27">
        <v>20</v>
      </c>
      <c r="I151" s="27">
        <v>27</v>
      </c>
      <c r="J151" s="27">
        <v>21.5</v>
      </c>
      <c r="K151" s="27">
        <v>2.5</v>
      </c>
      <c r="L151" s="28">
        <v>0.83720930232558144</v>
      </c>
      <c r="M151" s="28">
        <v>0.13464892434479561</v>
      </c>
      <c r="N151" s="28">
        <v>0.16083065963406129</v>
      </c>
      <c r="O151" s="28">
        <v>0.86046511627906974</v>
      </c>
      <c r="P151" s="28">
        <v>0.1219767007522676</v>
      </c>
      <c r="Q151" s="28">
        <v>0.1417567062796623</v>
      </c>
      <c r="R151" s="28">
        <v>1.093023255813953</v>
      </c>
      <c r="S151" s="28">
        <v>0.2065287756652826</v>
      </c>
      <c r="T151" s="28">
        <v>0.1889518585873862</v>
      </c>
      <c r="U151" s="28">
        <v>0.49153922450110987</v>
      </c>
      <c r="V151" s="27" t="s">
        <v>498</v>
      </c>
    </row>
    <row r="152" spans="1:22" x14ac:dyDescent="0.25">
      <c r="A152" s="27" t="s">
        <v>304</v>
      </c>
      <c r="B152" s="27">
        <v>20</v>
      </c>
      <c r="C152" s="27">
        <v>13</v>
      </c>
      <c r="D152" s="27">
        <v>11</v>
      </c>
      <c r="E152" s="27">
        <v>19</v>
      </c>
      <c r="F152" s="27">
        <v>17</v>
      </c>
      <c r="G152" s="27">
        <v>15</v>
      </c>
      <c r="H152" s="27">
        <v>23</v>
      </c>
      <c r="I152" s="27">
        <v>32</v>
      </c>
      <c r="J152" s="27">
        <v>16</v>
      </c>
      <c r="K152" s="27">
        <v>1</v>
      </c>
      <c r="L152" s="28">
        <v>1.03125</v>
      </c>
      <c r="M152" s="28">
        <v>0.2280477314560827</v>
      </c>
      <c r="N152" s="28">
        <v>0.22113719413923169</v>
      </c>
      <c r="O152" s="28">
        <v>0.9375</v>
      </c>
      <c r="P152" s="28">
        <v>0.25677466296163748</v>
      </c>
      <c r="Q152" s="28">
        <v>0.27389297382574662</v>
      </c>
      <c r="R152" s="28">
        <v>1.71875</v>
      </c>
      <c r="S152" s="28">
        <v>0.30106647393643088</v>
      </c>
      <c r="T152" s="28">
        <v>0.17516594847210529</v>
      </c>
      <c r="U152" s="28">
        <v>0.67019611643708354</v>
      </c>
      <c r="V152" s="27" t="s">
        <v>500</v>
      </c>
    </row>
    <row r="153" spans="1:22" x14ac:dyDescent="0.25">
      <c r="A153" s="27" t="s">
        <v>306</v>
      </c>
      <c r="B153" s="27">
        <v>2514</v>
      </c>
      <c r="C153" s="27">
        <v>1350</v>
      </c>
      <c r="D153" s="27">
        <v>2219</v>
      </c>
      <c r="E153" s="27">
        <v>2245</v>
      </c>
      <c r="F153" s="27">
        <v>2435</v>
      </c>
      <c r="G153" s="27">
        <v>2447</v>
      </c>
      <c r="H153" s="27">
        <v>2443</v>
      </c>
      <c r="I153" s="27">
        <v>3350</v>
      </c>
      <c r="J153" s="27">
        <v>2441</v>
      </c>
      <c r="K153" s="27">
        <v>6</v>
      </c>
      <c r="L153" s="28">
        <v>0.79147890208930771</v>
      </c>
      <c r="M153" s="28">
        <v>0.2384348111737111</v>
      </c>
      <c r="N153" s="28">
        <v>0.30125226401399008</v>
      </c>
      <c r="O153" s="28">
        <v>0.91437935272429327</v>
      </c>
      <c r="P153" s="28">
        <v>5.7805213029048907E-3</v>
      </c>
      <c r="Q153" s="28">
        <v>6.3217977152288706E-3</v>
      </c>
      <c r="R153" s="28">
        <v>1.186603850880787</v>
      </c>
      <c r="S153" s="28">
        <v>0.18580740804270671</v>
      </c>
      <c r="T153" s="28">
        <v>0.15658756534860929</v>
      </c>
      <c r="U153" s="28">
        <v>0.46416162707782832</v>
      </c>
      <c r="V153" s="27" t="s">
        <v>498</v>
      </c>
    </row>
    <row r="154" spans="1:22" x14ac:dyDescent="0.25">
      <c r="A154" s="27" t="s">
        <v>308</v>
      </c>
      <c r="B154" s="27">
        <v>1475</v>
      </c>
      <c r="C154" s="27">
        <v>1019</v>
      </c>
      <c r="D154" s="27">
        <v>1340</v>
      </c>
      <c r="E154" s="27">
        <v>1305</v>
      </c>
      <c r="F154" s="27">
        <v>1273</v>
      </c>
      <c r="G154" s="27">
        <v>1432</v>
      </c>
      <c r="H154" s="27">
        <v>1922</v>
      </c>
      <c r="I154" s="27">
        <v>2367</v>
      </c>
      <c r="J154" s="27">
        <v>1352.5</v>
      </c>
      <c r="K154" s="27">
        <v>79.5</v>
      </c>
      <c r="L154" s="28">
        <v>0.92199630314232905</v>
      </c>
      <c r="M154" s="28">
        <v>0.1770740031581324</v>
      </c>
      <c r="N154" s="28">
        <v>0.19205500342532</v>
      </c>
      <c r="O154" s="28">
        <v>0.97781885397412205</v>
      </c>
      <c r="P154" s="28">
        <v>5.89146382337861E-2</v>
      </c>
      <c r="Q154" s="28">
        <v>6.0251076152132849E-2</v>
      </c>
      <c r="R154" s="28">
        <v>1.5855822550831791</v>
      </c>
      <c r="S154" s="28">
        <v>0.1890765549009607</v>
      </c>
      <c r="T154" s="28">
        <v>0.1192473958981345</v>
      </c>
      <c r="U154" s="28">
        <v>0.37155347547558742</v>
      </c>
      <c r="V154" s="27" t="s">
        <v>501</v>
      </c>
    </row>
    <row r="155" spans="1:22" x14ac:dyDescent="0.25">
      <c r="A155" s="27" t="s">
        <v>310</v>
      </c>
      <c r="B155" s="27">
        <v>19</v>
      </c>
      <c r="C155" s="27">
        <v>20</v>
      </c>
      <c r="D155" s="27">
        <v>31</v>
      </c>
      <c r="E155" s="27">
        <v>16</v>
      </c>
      <c r="F155" s="27">
        <v>18</v>
      </c>
      <c r="G155" s="27">
        <v>23</v>
      </c>
      <c r="H155" s="27">
        <v>26</v>
      </c>
      <c r="I155" s="27">
        <v>35</v>
      </c>
      <c r="J155" s="27">
        <v>20.5</v>
      </c>
      <c r="K155" s="27">
        <v>2.5</v>
      </c>
      <c r="L155" s="28">
        <v>0.95121951219512191</v>
      </c>
      <c r="M155" s="28">
        <v>0.1185387533915911</v>
      </c>
      <c r="N155" s="28">
        <v>0.1246176638219291</v>
      </c>
      <c r="O155" s="28">
        <v>1.1463414634146341</v>
      </c>
      <c r="P155" s="28">
        <v>0.39165330002103232</v>
      </c>
      <c r="Q155" s="28">
        <v>0.34165500640132612</v>
      </c>
      <c r="R155" s="28">
        <v>1.48780487804878</v>
      </c>
      <c r="S155" s="28">
        <v>0.28479104489017792</v>
      </c>
      <c r="T155" s="28">
        <v>0.19141693181143099</v>
      </c>
      <c r="U155" s="28">
        <v>0.65768960203468618</v>
      </c>
      <c r="V155" s="27" t="s">
        <v>500</v>
      </c>
    </row>
    <row r="156" spans="1:22" x14ac:dyDescent="0.25">
      <c r="A156" s="27" t="s">
        <v>312</v>
      </c>
      <c r="B156" s="27">
        <v>36</v>
      </c>
      <c r="C156" s="27">
        <v>28</v>
      </c>
      <c r="D156" s="27">
        <v>28</v>
      </c>
      <c r="E156" s="27">
        <v>27</v>
      </c>
      <c r="F156" s="27">
        <v>36</v>
      </c>
      <c r="G156" s="27">
        <v>36</v>
      </c>
      <c r="H156" s="27">
        <v>31</v>
      </c>
      <c r="I156" s="27">
        <v>42</v>
      </c>
      <c r="J156" s="27">
        <v>36</v>
      </c>
      <c r="K156" s="27">
        <v>0</v>
      </c>
      <c r="L156" s="28">
        <v>0.88888888888888884</v>
      </c>
      <c r="M156" s="28">
        <v>0.1111111111111111</v>
      </c>
      <c r="N156" s="28">
        <v>0.125</v>
      </c>
      <c r="O156" s="28">
        <v>0.76388888888888884</v>
      </c>
      <c r="P156" s="28">
        <v>1.388888888888889E-2</v>
      </c>
      <c r="Q156" s="28">
        <v>1.8181818181818181E-2</v>
      </c>
      <c r="R156" s="28">
        <v>1.0138888888888891</v>
      </c>
      <c r="S156" s="28">
        <v>0.15277777777777779</v>
      </c>
      <c r="T156" s="28">
        <v>0.15068493150684931</v>
      </c>
      <c r="U156" s="28">
        <v>0.29386674968866749</v>
      </c>
      <c r="V156" s="27" t="s">
        <v>502</v>
      </c>
    </row>
    <row r="157" spans="1:22" x14ac:dyDescent="0.25">
      <c r="A157" s="27" t="s">
        <v>314</v>
      </c>
      <c r="B157" s="27">
        <v>298</v>
      </c>
      <c r="C157" s="27">
        <v>269</v>
      </c>
      <c r="D157" s="27">
        <v>379</v>
      </c>
      <c r="E157" s="27">
        <v>267</v>
      </c>
      <c r="F157" s="27">
        <v>280</v>
      </c>
      <c r="G157" s="27">
        <v>356</v>
      </c>
      <c r="H157" s="27">
        <v>712</v>
      </c>
      <c r="I157" s="27">
        <v>415</v>
      </c>
      <c r="J157" s="27">
        <v>318</v>
      </c>
      <c r="K157" s="27">
        <v>38</v>
      </c>
      <c r="L157" s="28">
        <v>0.89150943396226412</v>
      </c>
      <c r="M157" s="28">
        <v>0.1158806276634307</v>
      </c>
      <c r="N157" s="28">
        <v>0.12998250298755179</v>
      </c>
      <c r="O157" s="28">
        <v>1.0157232704402519</v>
      </c>
      <c r="P157" s="28">
        <v>0.2138773035503683</v>
      </c>
      <c r="Q157" s="28">
        <v>0.21056650937776189</v>
      </c>
      <c r="R157" s="28">
        <v>1.7720125786163521</v>
      </c>
      <c r="S157" s="28">
        <v>0.51274692675724542</v>
      </c>
      <c r="T157" s="28">
        <v>0.28935851412387592</v>
      </c>
      <c r="U157" s="28">
        <v>0.62990752648918957</v>
      </c>
      <c r="V157" s="27" t="s">
        <v>499</v>
      </c>
    </row>
    <row r="158" spans="1:22" x14ac:dyDescent="0.25">
      <c r="A158" s="27" t="s">
        <v>316</v>
      </c>
      <c r="B158" s="27">
        <v>14</v>
      </c>
      <c r="C158" s="27">
        <v>15</v>
      </c>
      <c r="D158" s="27">
        <v>15</v>
      </c>
      <c r="E158" s="27">
        <v>13</v>
      </c>
      <c r="F158" s="27">
        <v>9</v>
      </c>
      <c r="G158" s="27">
        <v>16</v>
      </c>
      <c r="H158" s="27">
        <v>16</v>
      </c>
      <c r="I158" s="27">
        <v>30</v>
      </c>
      <c r="J158" s="27">
        <v>12.5</v>
      </c>
      <c r="K158" s="27">
        <v>3.5</v>
      </c>
      <c r="L158" s="28">
        <v>1.1599999999999999</v>
      </c>
      <c r="M158" s="28">
        <v>0.32725378531042237</v>
      </c>
      <c r="N158" s="28">
        <v>0.28211533216415718</v>
      </c>
      <c r="O158" s="28">
        <v>1.1200000000000001</v>
      </c>
      <c r="P158" s="28">
        <v>0.32364326039638158</v>
      </c>
      <c r="Q158" s="28">
        <v>0.2889671967824835</v>
      </c>
      <c r="R158" s="28">
        <v>1.84</v>
      </c>
      <c r="S158" s="28">
        <v>0.76094089126554376</v>
      </c>
      <c r="T158" s="28">
        <v>0.41355483220953471</v>
      </c>
      <c r="U158" s="28">
        <v>0.98463736115617539</v>
      </c>
      <c r="V158" s="27" t="s">
        <v>500</v>
      </c>
    </row>
    <row r="159" spans="1:22" x14ac:dyDescent="0.25">
      <c r="A159" s="27" t="s">
        <v>318</v>
      </c>
      <c r="B159" s="27">
        <v>107</v>
      </c>
      <c r="C159" s="27">
        <v>74</v>
      </c>
      <c r="D159" s="27">
        <v>86</v>
      </c>
      <c r="E159" s="27">
        <v>92</v>
      </c>
      <c r="F159" s="27">
        <v>65</v>
      </c>
      <c r="G159" s="27">
        <v>91</v>
      </c>
      <c r="H159" s="27">
        <v>107</v>
      </c>
      <c r="I159" s="27">
        <v>115</v>
      </c>
      <c r="J159" s="27">
        <v>78</v>
      </c>
      <c r="K159" s="27">
        <v>13</v>
      </c>
      <c r="L159" s="28">
        <v>1.1602564102564099</v>
      </c>
      <c r="M159" s="28">
        <v>0.28660569521669499</v>
      </c>
      <c r="N159" s="28">
        <v>0.24701927322543879</v>
      </c>
      <c r="O159" s="28">
        <v>1.141025641025641</v>
      </c>
      <c r="P159" s="28">
        <v>0.1940213298231091</v>
      </c>
      <c r="Q159" s="28">
        <v>0.17004116546294959</v>
      </c>
      <c r="R159" s="28">
        <v>1.4230769230769229</v>
      </c>
      <c r="S159" s="28">
        <v>0.2426601696249705</v>
      </c>
      <c r="T159" s="28">
        <v>0.17051795703376299</v>
      </c>
      <c r="U159" s="28">
        <v>0.58757839572215143</v>
      </c>
      <c r="V159" s="27" t="s">
        <v>499</v>
      </c>
    </row>
    <row r="160" spans="1:22" x14ac:dyDescent="0.25">
      <c r="A160" s="27" t="s">
        <v>320</v>
      </c>
      <c r="B160" s="27">
        <v>46</v>
      </c>
      <c r="C160" s="27">
        <v>42</v>
      </c>
      <c r="D160" s="27">
        <v>54</v>
      </c>
      <c r="E160" s="27">
        <v>41</v>
      </c>
      <c r="F160" s="27">
        <v>50</v>
      </c>
      <c r="G160" s="27">
        <v>57</v>
      </c>
      <c r="H160" s="27">
        <v>58</v>
      </c>
      <c r="I160" s="27">
        <v>75</v>
      </c>
      <c r="J160" s="27">
        <v>53.5</v>
      </c>
      <c r="K160" s="27">
        <v>3.5</v>
      </c>
      <c r="L160" s="28">
        <v>0.82242990654205606</v>
      </c>
      <c r="M160" s="28">
        <v>6.5516056208109741E-2</v>
      </c>
      <c r="N160" s="28">
        <v>7.9661568343951619E-2</v>
      </c>
      <c r="O160" s="28">
        <v>0.88785046728971961</v>
      </c>
      <c r="P160" s="28">
        <v>0.134665614985023</v>
      </c>
      <c r="Q160" s="28">
        <v>0.15167600845681539</v>
      </c>
      <c r="R160" s="28">
        <v>1.2429906542056079</v>
      </c>
      <c r="S160" s="28">
        <v>0.17847929128050419</v>
      </c>
      <c r="T160" s="28">
        <v>0.14358860275950339</v>
      </c>
      <c r="U160" s="28">
        <v>0.37492617956027041</v>
      </c>
      <c r="V160" s="27" t="s">
        <v>501</v>
      </c>
    </row>
    <row r="161" spans="1:22" x14ac:dyDescent="0.25">
      <c r="A161" s="27" t="s">
        <v>322</v>
      </c>
      <c r="B161" s="27">
        <v>12691</v>
      </c>
      <c r="C161" s="27">
        <v>7698</v>
      </c>
      <c r="D161" s="27">
        <v>11597</v>
      </c>
      <c r="E161" s="27">
        <v>10543</v>
      </c>
      <c r="F161" s="27">
        <v>9758</v>
      </c>
      <c r="G161" s="27">
        <v>11864</v>
      </c>
      <c r="H161" s="27">
        <v>16197</v>
      </c>
      <c r="I161" s="27">
        <v>18126</v>
      </c>
      <c r="J161" s="27">
        <v>10811</v>
      </c>
      <c r="K161" s="27">
        <v>1053</v>
      </c>
      <c r="L161" s="28">
        <v>0.94297474794191105</v>
      </c>
      <c r="M161" s="28">
        <v>0.24851729190530589</v>
      </c>
      <c r="N161" s="28">
        <v>0.26354607315594308</v>
      </c>
      <c r="O161" s="28">
        <v>1.0239570807510869</v>
      </c>
      <c r="P161" s="28">
        <v>0.111009698046992</v>
      </c>
      <c r="Q161" s="28">
        <v>0.10841245217579321</v>
      </c>
      <c r="R161" s="28">
        <v>1.5874109703080199</v>
      </c>
      <c r="S161" s="28">
        <v>0.1785079469837198</v>
      </c>
      <c r="T161" s="28">
        <v>0.1124522573691691</v>
      </c>
      <c r="U161" s="28">
        <v>0.48441078270090532</v>
      </c>
      <c r="V161" s="27" t="s">
        <v>498</v>
      </c>
    </row>
    <row r="162" spans="1:22" x14ac:dyDescent="0.25">
      <c r="A162" s="27" t="s">
        <v>324</v>
      </c>
      <c r="B162" s="27">
        <v>313</v>
      </c>
      <c r="C162" s="27">
        <v>188</v>
      </c>
      <c r="D162" s="27">
        <v>300</v>
      </c>
      <c r="E162" s="27">
        <v>269</v>
      </c>
      <c r="F162" s="27">
        <v>255</v>
      </c>
      <c r="G162" s="27">
        <v>318</v>
      </c>
      <c r="H162" s="27">
        <v>446</v>
      </c>
      <c r="I162" s="27">
        <v>372</v>
      </c>
      <c r="J162" s="27">
        <v>286.5</v>
      </c>
      <c r="K162" s="27">
        <v>31.5</v>
      </c>
      <c r="L162" s="28">
        <v>0.87434554973821987</v>
      </c>
      <c r="M162" s="28">
        <v>0.23839225414200119</v>
      </c>
      <c r="N162" s="28">
        <v>0.27265221880911522</v>
      </c>
      <c r="O162" s="28">
        <v>0.99301919720767884</v>
      </c>
      <c r="P162" s="28">
        <v>0.1218492553907423</v>
      </c>
      <c r="Q162" s="28">
        <v>0.1227058406658969</v>
      </c>
      <c r="R162" s="28">
        <v>1.4275741710296681</v>
      </c>
      <c r="S162" s="28">
        <v>0.2032592858540119</v>
      </c>
      <c r="T162" s="28">
        <v>0.14238089339162449</v>
      </c>
      <c r="U162" s="28">
        <v>0.53773895286663653</v>
      </c>
      <c r="V162" s="27" t="s">
        <v>498</v>
      </c>
    </row>
    <row r="163" spans="1:22" x14ac:dyDescent="0.25">
      <c r="A163" s="27" t="s">
        <v>326</v>
      </c>
      <c r="B163" s="27">
        <v>13</v>
      </c>
      <c r="C163" s="27">
        <v>8</v>
      </c>
      <c r="D163" s="27">
        <v>15</v>
      </c>
      <c r="E163" s="27">
        <v>14</v>
      </c>
      <c r="F163" s="27">
        <v>17</v>
      </c>
      <c r="G163" s="27">
        <v>12</v>
      </c>
      <c r="H163" s="27">
        <v>27</v>
      </c>
      <c r="I163" s="27">
        <v>15</v>
      </c>
      <c r="J163" s="27">
        <v>14.5</v>
      </c>
      <c r="K163" s="27">
        <v>2.5</v>
      </c>
      <c r="L163" s="28">
        <v>0.72413793103448276</v>
      </c>
      <c r="M163" s="28">
        <v>0.2128717454217379</v>
      </c>
      <c r="N163" s="28">
        <v>0.29396574367763811</v>
      </c>
      <c r="O163" s="28">
        <v>1</v>
      </c>
      <c r="P163" s="28">
        <v>0.17582825908940641</v>
      </c>
      <c r="Q163" s="28">
        <v>0.17582825908940641</v>
      </c>
      <c r="R163" s="28">
        <v>1.448275862068966</v>
      </c>
      <c r="S163" s="28">
        <v>0.48329720488294742</v>
      </c>
      <c r="T163" s="28">
        <v>0.33370521289536842</v>
      </c>
      <c r="U163" s="28">
        <v>0.80349921566241278</v>
      </c>
      <c r="V163" s="27" t="s">
        <v>500</v>
      </c>
    </row>
    <row r="164" spans="1:22" x14ac:dyDescent="0.25">
      <c r="A164" s="27" t="s">
        <v>328</v>
      </c>
      <c r="B164" s="27">
        <v>19</v>
      </c>
      <c r="C164" s="27">
        <v>24</v>
      </c>
      <c r="D164" s="27">
        <v>25</v>
      </c>
      <c r="E164" s="27">
        <v>12</v>
      </c>
      <c r="F164" s="27">
        <v>21</v>
      </c>
      <c r="G164" s="27">
        <v>18</v>
      </c>
      <c r="H164" s="27">
        <v>16</v>
      </c>
      <c r="I164" s="27">
        <v>28</v>
      </c>
      <c r="J164" s="27">
        <v>19.5</v>
      </c>
      <c r="K164" s="27">
        <v>1.5</v>
      </c>
      <c r="L164" s="28">
        <v>1.1025641025641031</v>
      </c>
      <c r="M164" s="28">
        <v>0.1537196668118242</v>
      </c>
      <c r="N164" s="28">
        <v>0.13942016292235221</v>
      </c>
      <c r="O164" s="28">
        <v>0.94871794871794868</v>
      </c>
      <c r="P164" s="28">
        <v>0.34122858017607283</v>
      </c>
      <c r="Q164" s="28">
        <v>0.35967336829369828</v>
      </c>
      <c r="R164" s="28">
        <v>1.128205128205128</v>
      </c>
      <c r="S164" s="28">
        <v>0.31969703494050983</v>
      </c>
      <c r="T164" s="28">
        <v>0.28336782642454278</v>
      </c>
      <c r="U164" s="28">
        <v>0.78246135764059321</v>
      </c>
      <c r="V164" s="27" t="s">
        <v>500</v>
      </c>
    </row>
    <row r="165" spans="1:22" x14ac:dyDescent="0.25">
      <c r="A165" s="27" t="s">
        <v>330</v>
      </c>
      <c r="B165" s="27">
        <v>11</v>
      </c>
      <c r="C165" s="27">
        <v>5</v>
      </c>
      <c r="D165" s="27">
        <v>5</v>
      </c>
      <c r="E165" s="27">
        <v>4</v>
      </c>
      <c r="F165" s="27">
        <v>7</v>
      </c>
      <c r="G165" s="27">
        <v>9</v>
      </c>
      <c r="H165" s="27">
        <v>9</v>
      </c>
      <c r="I165" s="27">
        <v>7</v>
      </c>
      <c r="J165" s="27">
        <v>8</v>
      </c>
      <c r="K165" s="27">
        <v>1</v>
      </c>
      <c r="L165" s="28">
        <v>1</v>
      </c>
      <c r="M165" s="28">
        <v>0.39528470752104738</v>
      </c>
      <c r="N165" s="28">
        <v>0.39528470752104738</v>
      </c>
      <c r="O165" s="28">
        <v>0.5625</v>
      </c>
      <c r="P165" s="28">
        <v>9.4074957646814811E-2</v>
      </c>
      <c r="Q165" s="28">
        <v>0.16724436914989299</v>
      </c>
      <c r="R165" s="28">
        <v>1</v>
      </c>
      <c r="S165" s="28">
        <v>0.17677669529663689</v>
      </c>
      <c r="T165" s="28">
        <v>0.17677669529663689</v>
      </c>
      <c r="U165" s="28">
        <v>0.7393057719675773</v>
      </c>
      <c r="V165" s="27" t="s">
        <v>500</v>
      </c>
    </row>
    <row r="166" spans="1:22" x14ac:dyDescent="0.25">
      <c r="A166" s="27" t="s">
        <v>332</v>
      </c>
      <c r="B166" s="27">
        <v>564</v>
      </c>
      <c r="C166" s="27">
        <v>400</v>
      </c>
      <c r="D166" s="27">
        <v>460</v>
      </c>
      <c r="E166" s="27">
        <v>465</v>
      </c>
      <c r="F166" s="27">
        <v>460</v>
      </c>
      <c r="G166" s="27">
        <v>548</v>
      </c>
      <c r="H166" s="27">
        <v>651</v>
      </c>
      <c r="I166" s="27">
        <v>680</v>
      </c>
      <c r="J166" s="27">
        <v>504</v>
      </c>
      <c r="K166" s="27">
        <v>44</v>
      </c>
      <c r="L166" s="28">
        <v>0.95634920634920639</v>
      </c>
      <c r="M166" s="28">
        <v>0.1828701391749909</v>
      </c>
      <c r="N166" s="28">
        <v>0.1912169090128536</v>
      </c>
      <c r="O166" s="28">
        <v>0.91765873015873012</v>
      </c>
      <c r="P166" s="28">
        <v>8.0266479502715954E-2</v>
      </c>
      <c r="Q166" s="28">
        <v>8.7468769014851552E-2</v>
      </c>
      <c r="R166" s="28">
        <v>1.3204365079365079</v>
      </c>
      <c r="S166" s="28">
        <v>0.11881206488319671</v>
      </c>
      <c r="T166" s="28">
        <v>8.9979384975403642E-2</v>
      </c>
      <c r="U166" s="28">
        <v>0.36866506300310881</v>
      </c>
      <c r="V166" s="27" t="s">
        <v>501</v>
      </c>
    </row>
    <row r="167" spans="1:22" x14ac:dyDescent="0.25">
      <c r="A167" s="27" t="s">
        <v>334</v>
      </c>
      <c r="B167" s="27">
        <v>465</v>
      </c>
      <c r="C167" s="27">
        <v>327</v>
      </c>
      <c r="D167" s="27">
        <v>399</v>
      </c>
      <c r="E167" s="27">
        <v>399</v>
      </c>
      <c r="F167" s="27">
        <v>433</v>
      </c>
      <c r="G167" s="27">
        <v>433</v>
      </c>
      <c r="H167" s="27">
        <v>489</v>
      </c>
      <c r="I167" s="27">
        <v>638</v>
      </c>
      <c r="J167" s="27">
        <v>433</v>
      </c>
      <c r="K167" s="27">
        <v>0</v>
      </c>
      <c r="L167" s="28">
        <v>0.91454965357967666</v>
      </c>
      <c r="M167" s="28">
        <v>0.15935334872979209</v>
      </c>
      <c r="N167" s="28">
        <v>0.17424242424242431</v>
      </c>
      <c r="O167" s="28">
        <v>0.92147806004618937</v>
      </c>
      <c r="P167" s="28">
        <v>0</v>
      </c>
      <c r="Q167" s="28">
        <v>0</v>
      </c>
      <c r="R167" s="28">
        <v>1.301385681293302</v>
      </c>
      <c r="S167" s="28">
        <v>0.17205542725173209</v>
      </c>
      <c r="T167" s="28">
        <v>0.13220940550133101</v>
      </c>
      <c r="U167" s="28">
        <v>0.30645182974375518</v>
      </c>
      <c r="V167" s="27" t="s">
        <v>501</v>
      </c>
    </row>
    <row r="168" spans="1:22" x14ac:dyDescent="0.25">
      <c r="A168" s="27" t="s">
        <v>336</v>
      </c>
      <c r="B168" s="27">
        <v>1117</v>
      </c>
      <c r="C168" s="27">
        <v>950</v>
      </c>
      <c r="D168" s="27">
        <v>942</v>
      </c>
      <c r="E168" s="27">
        <v>879</v>
      </c>
      <c r="F168" s="27">
        <v>889</v>
      </c>
      <c r="G168" s="27">
        <v>1083</v>
      </c>
      <c r="H168" s="27">
        <v>1450</v>
      </c>
      <c r="I168" s="27">
        <v>1379</v>
      </c>
      <c r="J168" s="27">
        <v>986</v>
      </c>
      <c r="K168" s="27">
        <v>97</v>
      </c>
      <c r="L168" s="28">
        <v>1.0481744421906689</v>
      </c>
      <c r="M168" s="28">
        <v>0.13343415604211151</v>
      </c>
      <c r="N168" s="28">
        <v>0.12730147833335459</v>
      </c>
      <c r="O168" s="28">
        <v>0.92342799188640978</v>
      </c>
      <c r="P168" s="28">
        <v>9.6298083551884434E-2</v>
      </c>
      <c r="Q168" s="28">
        <v>0.10428326236371011</v>
      </c>
      <c r="R168" s="28">
        <v>1.4345841784989859</v>
      </c>
      <c r="S168" s="28">
        <v>0.14565063657880251</v>
      </c>
      <c r="T168" s="28">
        <v>0.10152812136210621</v>
      </c>
      <c r="U168" s="28">
        <v>0.3331128620591709</v>
      </c>
      <c r="V168" s="27" t="s">
        <v>501</v>
      </c>
    </row>
    <row r="169" spans="1:22" x14ac:dyDescent="0.25">
      <c r="A169" s="27" t="s">
        <v>338</v>
      </c>
      <c r="B169" s="27">
        <v>1113</v>
      </c>
      <c r="C169" s="27">
        <v>852</v>
      </c>
      <c r="D169" s="27">
        <v>1050</v>
      </c>
      <c r="E169" s="27">
        <v>1010</v>
      </c>
      <c r="F169" s="27">
        <v>1072</v>
      </c>
      <c r="G169" s="27">
        <v>1129</v>
      </c>
      <c r="H169" s="27">
        <v>1133</v>
      </c>
      <c r="I169" s="27">
        <v>1415</v>
      </c>
      <c r="J169" s="27">
        <v>1100.5</v>
      </c>
      <c r="K169" s="27">
        <v>28.5</v>
      </c>
      <c r="L169" s="28">
        <v>0.8927760109041345</v>
      </c>
      <c r="M169" s="28">
        <v>0.1208153888853447</v>
      </c>
      <c r="N169" s="28">
        <v>0.13532553228327929</v>
      </c>
      <c r="O169" s="28">
        <v>0.93593820990458887</v>
      </c>
      <c r="P169" s="28">
        <v>3.0294767374288201E-2</v>
      </c>
      <c r="Q169" s="28">
        <v>3.2368341257673947E-2</v>
      </c>
      <c r="R169" s="28">
        <v>1.15765561108587</v>
      </c>
      <c r="S169" s="28">
        <v>0.13158443228896549</v>
      </c>
      <c r="T169" s="28">
        <v>0.11366457435950281</v>
      </c>
      <c r="U169" s="28">
        <v>0.28135844790045589</v>
      </c>
      <c r="V169" s="27" t="s">
        <v>502</v>
      </c>
    </row>
    <row r="170" spans="1:22" x14ac:dyDescent="0.25">
      <c r="A170" s="27" t="s">
        <v>340</v>
      </c>
      <c r="B170" s="27">
        <v>145</v>
      </c>
      <c r="C170" s="27">
        <v>121</v>
      </c>
      <c r="D170" s="27">
        <v>157</v>
      </c>
      <c r="E170" s="27">
        <v>113</v>
      </c>
      <c r="F170" s="27">
        <v>144</v>
      </c>
      <c r="G170" s="27">
        <v>159</v>
      </c>
      <c r="H170" s="27">
        <v>197</v>
      </c>
      <c r="I170" s="27">
        <v>234</v>
      </c>
      <c r="J170" s="27">
        <v>151.5</v>
      </c>
      <c r="K170" s="27">
        <v>7.5</v>
      </c>
      <c r="L170" s="28">
        <v>0.87788778877887785</v>
      </c>
      <c r="M170" s="28">
        <v>9.0347375144429906E-2</v>
      </c>
      <c r="N170" s="28">
        <v>0.1029144912359484</v>
      </c>
      <c r="O170" s="28">
        <v>0.8910891089108911</v>
      </c>
      <c r="P170" s="28">
        <v>0.15176706638185131</v>
      </c>
      <c r="Q170" s="28">
        <v>0.17031637449518869</v>
      </c>
      <c r="R170" s="28">
        <v>1.422442244224422</v>
      </c>
      <c r="S170" s="28">
        <v>0.1409612620571401</v>
      </c>
      <c r="T170" s="28">
        <v>9.909805662021684E-2</v>
      </c>
      <c r="U170" s="28">
        <v>0.37232892235135379</v>
      </c>
      <c r="V170" s="27" t="s">
        <v>501</v>
      </c>
    </row>
    <row r="171" spans="1:22" x14ac:dyDescent="0.25">
      <c r="A171" s="27" t="s">
        <v>342</v>
      </c>
      <c r="B171" s="27">
        <v>15</v>
      </c>
      <c r="C171" s="27">
        <v>12</v>
      </c>
      <c r="D171" s="27">
        <v>12</v>
      </c>
      <c r="E171" s="27">
        <v>16</v>
      </c>
      <c r="F171" s="27">
        <v>9</v>
      </c>
      <c r="G171" s="27">
        <v>10</v>
      </c>
      <c r="H171" s="27">
        <v>12</v>
      </c>
      <c r="I171" s="27">
        <v>17</v>
      </c>
      <c r="J171" s="27">
        <v>9.5</v>
      </c>
      <c r="K171" s="27">
        <v>0.5</v>
      </c>
      <c r="L171" s="28">
        <v>1.4210526315789469</v>
      </c>
      <c r="M171" s="28">
        <v>0.17471298649552891</v>
      </c>
      <c r="N171" s="28">
        <v>0.12294617568203881</v>
      </c>
      <c r="O171" s="28">
        <v>1.4736842105263159</v>
      </c>
      <c r="P171" s="28">
        <v>0.22435963137192891</v>
      </c>
      <c r="Q171" s="28">
        <v>0.15224403557380889</v>
      </c>
      <c r="R171" s="28">
        <v>1.5263157894736841</v>
      </c>
      <c r="S171" s="28">
        <v>0.27514609511000587</v>
      </c>
      <c r="T171" s="28">
        <v>0.1802681312789694</v>
      </c>
      <c r="U171" s="28">
        <v>0.45545834253481721</v>
      </c>
      <c r="V171" s="27" t="s">
        <v>498</v>
      </c>
    </row>
    <row r="172" spans="1:22" x14ac:dyDescent="0.25">
      <c r="A172" s="27" t="s">
        <v>344</v>
      </c>
      <c r="B172" s="27">
        <v>5</v>
      </c>
      <c r="C172" s="27">
        <v>5</v>
      </c>
      <c r="D172" s="27">
        <v>6</v>
      </c>
      <c r="E172" s="27">
        <v>14</v>
      </c>
      <c r="F172" s="27">
        <v>4</v>
      </c>
      <c r="G172" s="27">
        <v>6</v>
      </c>
      <c r="H172" s="27">
        <v>9</v>
      </c>
      <c r="I172" s="27">
        <v>17</v>
      </c>
      <c r="J172" s="27">
        <v>5</v>
      </c>
      <c r="K172" s="27">
        <v>1</v>
      </c>
      <c r="L172" s="28">
        <v>1</v>
      </c>
      <c r="M172" s="28">
        <v>0.2</v>
      </c>
      <c r="N172" s="28">
        <v>0.2</v>
      </c>
      <c r="O172" s="28">
        <v>2</v>
      </c>
      <c r="P172" s="28">
        <v>0.89442719099991597</v>
      </c>
      <c r="Q172" s="28">
        <v>0.44721359549995798</v>
      </c>
      <c r="R172" s="28">
        <v>2.6</v>
      </c>
      <c r="S172" s="28">
        <v>0.95414883535012518</v>
      </c>
      <c r="T172" s="28">
        <v>0.36698032128850971</v>
      </c>
      <c r="U172" s="28">
        <v>1.0141939167884679</v>
      </c>
      <c r="V172" s="27" t="s">
        <v>500</v>
      </c>
    </row>
    <row r="173" spans="1:22" x14ac:dyDescent="0.25">
      <c r="A173" s="27" t="s">
        <v>346</v>
      </c>
      <c r="B173" s="27">
        <v>5049</v>
      </c>
      <c r="C173" s="27">
        <v>2571</v>
      </c>
      <c r="D173" s="27">
        <v>4865</v>
      </c>
      <c r="E173" s="27">
        <v>4484</v>
      </c>
      <c r="F173" s="27">
        <v>4539</v>
      </c>
      <c r="G173" s="27">
        <v>5532</v>
      </c>
      <c r="H173" s="27">
        <v>7952</v>
      </c>
      <c r="I173" s="27">
        <v>8204</v>
      </c>
      <c r="J173" s="27">
        <v>5035.5</v>
      </c>
      <c r="K173" s="27">
        <v>496.5</v>
      </c>
      <c r="L173" s="28">
        <v>0.75662794161453684</v>
      </c>
      <c r="M173" s="28">
        <v>0.25711430944347158</v>
      </c>
      <c r="N173" s="28">
        <v>0.33981603811091893</v>
      </c>
      <c r="O173" s="28">
        <v>0.92830900605699529</v>
      </c>
      <c r="P173" s="28">
        <v>9.9041291903069234E-2</v>
      </c>
      <c r="Q173" s="28">
        <v>0.10669000435937639</v>
      </c>
      <c r="R173" s="28">
        <v>1.6042101082315561</v>
      </c>
      <c r="S173" s="28">
        <v>0.1601419834620981</v>
      </c>
      <c r="T173" s="28">
        <v>9.9826065576057818E-2</v>
      </c>
      <c r="U173" s="28">
        <v>0.54633210804635313</v>
      </c>
      <c r="V173" s="27" t="s">
        <v>498</v>
      </c>
    </row>
    <row r="174" spans="1:22" x14ac:dyDescent="0.25">
      <c r="A174" s="27" t="s">
        <v>348</v>
      </c>
      <c r="B174" s="27">
        <v>93</v>
      </c>
      <c r="C174" s="27">
        <v>47</v>
      </c>
      <c r="D174" s="27">
        <v>87</v>
      </c>
      <c r="E174" s="27">
        <v>66</v>
      </c>
      <c r="F174" s="27">
        <v>60</v>
      </c>
      <c r="G174" s="27">
        <v>84</v>
      </c>
      <c r="H174" s="27">
        <v>135</v>
      </c>
      <c r="I174" s="27">
        <v>124</v>
      </c>
      <c r="J174" s="27">
        <v>72</v>
      </c>
      <c r="K174" s="27">
        <v>12</v>
      </c>
      <c r="L174" s="28">
        <v>0.97222222222222221</v>
      </c>
      <c r="M174" s="28">
        <v>0.35819094692379072</v>
      </c>
      <c r="N174" s="28">
        <v>0.36842497397875618</v>
      </c>
      <c r="O174" s="28">
        <v>1.0625</v>
      </c>
      <c r="P174" s="28">
        <v>0.22940328693276291</v>
      </c>
      <c r="Q174" s="28">
        <v>0.21590897593671801</v>
      </c>
      <c r="R174" s="28">
        <v>1.7986111111111109</v>
      </c>
      <c r="S174" s="28">
        <v>0.30934839104231071</v>
      </c>
      <c r="T174" s="28">
        <v>0.17199292783819589</v>
      </c>
      <c r="U174" s="28">
        <v>0.75632687775367025</v>
      </c>
      <c r="V174" s="27" t="s">
        <v>500</v>
      </c>
    </row>
    <row r="175" spans="1:22" x14ac:dyDescent="0.25">
      <c r="A175" s="27" t="s">
        <v>350</v>
      </c>
      <c r="B175" s="27">
        <v>392</v>
      </c>
      <c r="C175" s="27">
        <v>266</v>
      </c>
      <c r="D175" s="27">
        <v>340</v>
      </c>
      <c r="E175" s="27">
        <v>351</v>
      </c>
      <c r="F175" s="27">
        <v>292</v>
      </c>
      <c r="G175" s="27">
        <v>366</v>
      </c>
      <c r="H175" s="27">
        <v>433</v>
      </c>
      <c r="I175" s="27">
        <v>557</v>
      </c>
      <c r="J175" s="27">
        <v>329</v>
      </c>
      <c r="K175" s="27">
        <v>37</v>
      </c>
      <c r="L175" s="28">
        <v>1</v>
      </c>
      <c r="M175" s="28">
        <v>0.2220717867186362</v>
      </c>
      <c r="N175" s="28">
        <v>0.2220717867186362</v>
      </c>
      <c r="O175" s="28">
        <v>1.0501519756838911</v>
      </c>
      <c r="P175" s="28">
        <v>0.11927949574538441</v>
      </c>
      <c r="Q175" s="28">
        <v>0.1135830798848957</v>
      </c>
      <c r="R175" s="28">
        <v>1.504559270516717</v>
      </c>
      <c r="S175" s="28">
        <v>0.25326652433471691</v>
      </c>
      <c r="T175" s="28">
        <v>0.16833270001236739</v>
      </c>
      <c r="U175" s="28">
        <v>0.50398756661589927</v>
      </c>
      <c r="V175" s="27" t="s">
        <v>498</v>
      </c>
    </row>
    <row r="176" spans="1:22" x14ac:dyDescent="0.25">
      <c r="A176" s="27" t="s">
        <v>352</v>
      </c>
      <c r="B176" s="27">
        <v>9</v>
      </c>
      <c r="C176" s="27">
        <v>9</v>
      </c>
      <c r="D176" s="27">
        <v>8</v>
      </c>
      <c r="E176" s="27">
        <v>9</v>
      </c>
      <c r="F176" s="27">
        <v>11</v>
      </c>
      <c r="G176" s="27">
        <v>10</v>
      </c>
      <c r="H176" s="27">
        <v>13</v>
      </c>
      <c r="I176" s="27">
        <v>10</v>
      </c>
      <c r="J176" s="27">
        <v>10.5</v>
      </c>
      <c r="K176" s="27">
        <v>0.5</v>
      </c>
      <c r="L176" s="28">
        <v>0.8571428571428571</v>
      </c>
      <c r="M176" s="28">
        <v>4.0816326530612242E-2</v>
      </c>
      <c r="N176" s="28">
        <v>4.7619047619047623E-2</v>
      </c>
      <c r="O176" s="28">
        <v>0.80952380952380953</v>
      </c>
      <c r="P176" s="28">
        <v>6.1266467510686151E-2</v>
      </c>
      <c r="Q176" s="28">
        <v>7.5682106924965242E-2</v>
      </c>
      <c r="R176" s="28">
        <v>1.0952380952380949</v>
      </c>
      <c r="S176" s="28">
        <v>0.15207966110754839</v>
      </c>
      <c r="T176" s="28">
        <v>0.13885534275037029</v>
      </c>
      <c r="U176" s="28">
        <v>0.26215649729438317</v>
      </c>
      <c r="V176" s="27" t="s">
        <v>502</v>
      </c>
    </row>
    <row r="177" spans="1:22" x14ac:dyDescent="0.25">
      <c r="A177" s="27" t="s">
        <v>354</v>
      </c>
      <c r="B177" s="27">
        <v>18</v>
      </c>
      <c r="C177" s="27">
        <v>6</v>
      </c>
      <c r="D177" s="27">
        <v>18</v>
      </c>
      <c r="E177" s="27">
        <v>10</v>
      </c>
      <c r="F177" s="27">
        <v>11</v>
      </c>
      <c r="G177" s="27">
        <v>11</v>
      </c>
      <c r="H177" s="27">
        <v>13</v>
      </c>
      <c r="I177" s="27">
        <v>13</v>
      </c>
      <c r="J177" s="27">
        <v>11</v>
      </c>
      <c r="K177" s="27">
        <v>0</v>
      </c>
      <c r="L177" s="28">
        <v>1.0909090909090911</v>
      </c>
      <c r="M177" s="28">
        <v>0.54545454545454541</v>
      </c>
      <c r="N177" s="28">
        <v>0.5</v>
      </c>
      <c r="O177" s="28">
        <v>1.2727272727272729</v>
      </c>
      <c r="P177" s="28">
        <v>0.36363636363636359</v>
      </c>
      <c r="Q177" s="28">
        <v>0.2857142857142857</v>
      </c>
      <c r="R177" s="28">
        <v>1.1818181818181821</v>
      </c>
      <c r="S177" s="28">
        <v>0</v>
      </c>
      <c r="T177" s="28">
        <v>0</v>
      </c>
      <c r="U177" s="28">
        <v>0.7857142857142857</v>
      </c>
      <c r="V177" s="27" t="s">
        <v>500</v>
      </c>
    </row>
    <row r="178" spans="1:22" x14ac:dyDescent="0.25">
      <c r="A178" s="27" t="s">
        <v>356</v>
      </c>
      <c r="B178" s="27">
        <v>899</v>
      </c>
      <c r="C178" s="27">
        <v>594</v>
      </c>
      <c r="D178" s="27">
        <v>786</v>
      </c>
      <c r="E178" s="27">
        <v>739</v>
      </c>
      <c r="F178" s="27">
        <v>789</v>
      </c>
      <c r="G178" s="27">
        <v>924</v>
      </c>
      <c r="H178" s="27">
        <v>1073</v>
      </c>
      <c r="I178" s="27">
        <v>1692</v>
      </c>
      <c r="J178" s="27">
        <v>856.5</v>
      </c>
      <c r="K178" s="27">
        <v>67.5</v>
      </c>
      <c r="L178" s="28">
        <v>0.87157034442498538</v>
      </c>
      <c r="M178" s="28">
        <v>0.19083991378865539</v>
      </c>
      <c r="N178" s="28">
        <v>0.21896099954451889</v>
      </c>
      <c r="O178" s="28">
        <v>0.89025102159953295</v>
      </c>
      <c r="P178" s="28">
        <v>7.5334004650871159E-2</v>
      </c>
      <c r="Q178" s="28">
        <v>8.4621081945535928E-2</v>
      </c>
      <c r="R178" s="28">
        <v>1.6141272621132521</v>
      </c>
      <c r="S178" s="28">
        <v>0.38309114126359251</v>
      </c>
      <c r="T178" s="28">
        <v>0.2373363923994698</v>
      </c>
      <c r="U178" s="28">
        <v>0.54091847388952452</v>
      </c>
      <c r="V178" s="27" t="s">
        <v>498</v>
      </c>
    </row>
    <row r="179" spans="1:22" x14ac:dyDescent="0.25">
      <c r="A179" s="27" t="s">
        <v>358</v>
      </c>
      <c r="B179" s="27">
        <v>11</v>
      </c>
      <c r="C179" s="27">
        <v>13</v>
      </c>
      <c r="D179" s="27">
        <v>9</v>
      </c>
      <c r="E179" s="27">
        <v>10</v>
      </c>
      <c r="F179" s="27">
        <v>10</v>
      </c>
      <c r="G179" s="27">
        <v>11</v>
      </c>
      <c r="H179" s="27">
        <v>11</v>
      </c>
      <c r="I179" s="27">
        <v>8</v>
      </c>
      <c r="J179" s="27">
        <v>10.5</v>
      </c>
      <c r="K179" s="27">
        <v>0.5</v>
      </c>
      <c r="L179" s="28">
        <v>1.142857142857143</v>
      </c>
      <c r="M179" s="28">
        <v>0.1096905816095041</v>
      </c>
      <c r="N179" s="28">
        <v>9.5979258908316059E-2</v>
      </c>
      <c r="O179" s="28">
        <v>0.90476190476190477</v>
      </c>
      <c r="P179" s="28">
        <v>6.4216790288010403E-2</v>
      </c>
      <c r="Q179" s="28">
        <v>7.097645242359045E-2</v>
      </c>
      <c r="R179" s="28">
        <v>0.90476190476190477</v>
      </c>
      <c r="S179" s="28">
        <v>0.14921255216654969</v>
      </c>
      <c r="T179" s="28">
        <v>0.1649191366051338</v>
      </c>
      <c r="U179" s="28">
        <v>0.33187484793704042</v>
      </c>
      <c r="V179" s="27" t="s">
        <v>501</v>
      </c>
    </row>
    <row r="180" spans="1:22" x14ac:dyDescent="0.25">
      <c r="A180" s="27" t="s">
        <v>360</v>
      </c>
      <c r="B180" s="27">
        <v>11</v>
      </c>
      <c r="C180" s="27">
        <v>10</v>
      </c>
      <c r="D180" s="27">
        <v>9</v>
      </c>
      <c r="E180" s="27">
        <v>18</v>
      </c>
      <c r="F180" s="27">
        <v>20</v>
      </c>
      <c r="G180" s="27">
        <v>18</v>
      </c>
      <c r="H180" s="27">
        <v>29</v>
      </c>
      <c r="I180" s="27">
        <v>26</v>
      </c>
      <c r="J180" s="27">
        <v>19</v>
      </c>
      <c r="K180" s="27">
        <v>1</v>
      </c>
      <c r="L180" s="28">
        <v>0.55263157894736847</v>
      </c>
      <c r="M180" s="28">
        <v>3.9223828970931567E-2</v>
      </c>
      <c r="N180" s="28">
        <v>7.097645242359045E-2</v>
      </c>
      <c r="O180" s="28">
        <v>0.71052631578947367</v>
      </c>
      <c r="P180" s="28">
        <v>0.23977625561640181</v>
      </c>
      <c r="Q180" s="28">
        <v>0.33746287827493587</v>
      </c>
      <c r="R180" s="28">
        <v>1.4473684210526321</v>
      </c>
      <c r="S180" s="28">
        <v>0.1097071819851128</v>
      </c>
      <c r="T180" s="28">
        <v>7.5797689371532445E-2</v>
      </c>
      <c r="U180" s="28">
        <v>0.48423702007005881</v>
      </c>
      <c r="V180" s="27" t="s">
        <v>498</v>
      </c>
    </row>
    <row r="181" spans="1:22" x14ac:dyDescent="0.25">
      <c r="A181" s="27" t="s">
        <v>362</v>
      </c>
      <c r="B181" s="27">
        <v>163</v>
      </c>
      <c r="C181" s="27">
        <v>97</v>
      </c>
      <c r="D181" s="27">
        <v>178</v>
      </c>
      <c r="E181" s="27">
        <v>128</v>
      </c>
      <c r="F181" s="27">
        <v>141</v>
      </c>
      <c r="G181" s="27">
        <v>161</v>
      </c>
      <c r="H181" s="27">
        <v>243</v>
      </c>
      <c r="I181" s="27">
        <v>274</v>
      </c>
      <c r="J181" s="27">
        <v>151</v>
      </c>
      <c r="K181" s="27">
        <v>10</v>
      </c>
      <c r="L181" s="28">
        <v>0.86092715231788075</v>
      </c>
      <c r="M181" s="28">
        <v>0.22585787181842679</v>
      </c>
      <c r="N181" s="28">
        <v>0.26234260495832651</v>
      </c>
      <c r="O181" s="28">
        <v>1.0132450331125831</v>
      </c>
      <c r="P181" s="28">
        <v>0.1786443388992266</v>
      </c>
      <c r="Q181" s="28">
        <v>0.17630911878289679</v>
      </c>
      <c r="R181" s="28">
        <v>1.711920529801324</v>
      </c>
      <c r="S181" s="28">
        <v>0.15293815398867611</v>
      </c>
      <c r="T181" s="28">
        <v>8.9337180859922982E-2</v>
      </c>
      <c r="U181" s="28">
        <v>0.52798890460114634</v>
      </c>
      <c r="V181" s="27" t="s">
        <v>498</v>
      </c>
    </row>
    <row r="182" spans="1:22" x14ac:dyDescent="0.25">
      <c r="A182" s="27" t="s">
        <v>364</v>
      </c>
      <c r="B182" s="27">
        <v>1873</v>
      </c>
      <c r="C182" s="27">
        <v>1060</v>
      </c>
      <c r="D182" s="27">
        <v>2012</v>
      </c>
      <c r="E182" s="27">
        <v>1700</v>
      </c>
      <c r="F182" s="27">
        <v>1418</v>
      </c>
      <c r="G182" s="27">
        <v>2104</v>
      </c>
      <c r="H182" s="27">
        <v>3311</v>
      </c>
      <c r="I182" s="27">
        <v>2506</v>
      </c>
      <c r="J182" s="27">
        <v>1761</v>
      </c>
      <c r="K182" s="27">
        <v>343</v>
      </c>
      <c r="L182" s="28">
        <v>0.83276547416240776</v>
      </c>
      <c r="M182" s="28">
        <v>0.28212466380272749</v>
      </c>
      <c r="N182" s="28">
        <v>0.338780452067237</v>
      </c>
      <c r="O182" s="28">
        <v>1.0539466212379329</v>
      </c>
      <c r="P182" s="28">
        <v>0.22358146481485811</v>
      </c>
      <c r="Q182" s="28">
        <v>0.21213737044125269</v>
      </c>
      <c r="R182" s="28">
        <v>1.651618398637138</v>
      </c>
      <c r="S182" s="28">
        <v>0.39462506433435668</v>
      </c>
      <c r="T182" s="28">
        <v>0.238932349421627</v>
      </c>
      <c r="U182" s="28">
        <v>0.78985017193011675</v>
      </c>
      <c r="V182" s="27" t="s">
        <v>500</v>
      </c>
    </row>
    <row r="183" spans="1:22" x14ac:dyDescent="0.25">
      <c r="A183" s="27" t="s">
        <v>366</v>
      </c>
      <c r="B183" s="27">
        <v>894</v>
      </c>
      <c r="C183" s="27">
        <v>567</v>
      </c>
      <c r="D183" s="27">
        <v>877</v>
      </c>
      <c r="E183" s="27">
        <v>761</v>
      </c>
      <c r="F183" s="27">
        <v>673</v>
      </c>
      <c r="G183" s="27">
        <v>811</v>
      </c>
      <c r="H183" s="27">
        <v>1437</v>
      </c>
      <c r="I183" s="27">
        <v>1124</v>
      </c>
      <c r="J183" s="27">
        <v>742</v>
      </c>
      <c r="K183" s="27">
        <v>69</v>
      </c>
      <c r="L183" s="28">
        <v>0.98450134770889486</v>
      </c>
      <c r="M183" s="28">
        <v>0.23861228978112869</v>
      </c>
      <c r="N183" s="28">
        <v>0.24236867764215941</v>
      </c>
      <c r="O183" s="28">
        <v>1.10377358490566</v>
      </c>
      <c r="P183" s="28">
        <v>0.12901737041340181</v>
      </c>
      <c r="Q183" s="28">
        <v>0.1168875321694068</v>
      </c>
      <c r="R183" s="28">
        <v>1.725741239892183</v>
      </c>
      <c r="S183" s="28">
        <v>0.26502748853093022</v>
      </c>
      <c r="T183" s="28">
        <v>0.153573132752792</v>
      </c>
      <c r="U183" s="28">
        <v>0.5128293425643583</v>
      </c>
      <c r="V183" s="27" t="s">
        <v>498</v>
      </c>
    </row>
    <row r="184" spans="1:22" x14ac:dyDescent="0.25">
      <c r="A184" s="27" t="s">
        <v>368</v>
      </c>
      <c r="B184" s="27">
        <v>31</v>
      </c>
      <c r="C184" s="27">
        <v>24</v>
      </c>
      <c r="D184" s="27">
        <v>19</v>
      </c>
      <c r="E184" s="27">
        <v>21</v>
      </c>
      <c r="F184" s="27">
        <v>27</v>
      </c>
      <c r="G184" s="27">
        <v>20</v>
      </c>
      <c r="H184" s="27">
        <v>31</v>
      </c>
      <c r="I184" s="27">
        <v>40</v>
      </c>
      <c r="J184" s="27">
        <v>23.5</v>
      </c>
      <c r="K184" s="27">
        <v>3.5</v>
      </c>
      <c r="L184" s="28">
        <v>1.1702127659574471</v>
      </c>
      <c r="M184" s="28">
        <v>0.2292551937234974</v>
      </c>
      <c r="N184" s="28">
        <v>0.1959089837273523</v>
      </c>
      <c r="O184" s="28">
        <v>0.85106382978723405</v>
      </c>
      <c r="P184" s="28">
        <v>0.1337063877800819</v>
      </c>
      <c r="Q184" s="28">
        <v>0.15710500564159621</v>
      </c>
      <c r="R184" s="28">
        <v>1.5106382978723401</v>
      </c>
      <c r="S184" s="28">
        <v>0.29544556684945789</v>
      </c>
      <c r="T184" s="28">
        <v>0.1955766428440073</v>
      </c>
      <c r="U184" s="28">
        <v>0.5485906322129559</v>
      </c>
      <c r="V184" s="27" t="s">
        <v>498</v>
      </c>
    </row>
    <row r="185" spans="1:22" x14ac:dyDescent="0.25">
      <c r="A185" s="27" t="s">
        <v>370</v>
      </c>
      <c r="B185" s="27">
        <v>7</v>
      </c>
      <c r="C185" s="27">
        <v>7</v>
      </c>
      <c r="D185" s="27">
        <v>12</v>
      </c>
      <c r="E185" s="27">
        <v>11</v>
      </c>
      <c r="F185" s="27">
        <v>8</v>
      </c>
      <c r="G185" s="27">
        <v>3</v>
      </c>
      <c r="H185" s="27">
        <v>16</v>
      </c>
      <c r="I185" s="27">
        <v>11</v>
      </c>
      <c r="J185" s="27">
        <v>5.5</v>
      </c>
      <c r="K185" s="27">
        <v>2.5</v>
      </c>
      <c r="L185" s="28">
        <v>1.2727272727272729</v>
      </c>
      <c r="M185" s="28">
        <v>0.57851239669421484</v>
      </c>
      <c r="N185" s="28">
        <v>0.45454545454545447</v>
      </c>
      <c r="O185" s="28">
        <v>2.0909090909090908</v>
      </c>
      <c r="P185" s="28">
        <v>0.95475114953071571</v>
      </c>
      <c r="Q185" s="28">
        <v>0.45662011499295102</v>
      </c>
      <c r="R185" s="28">
        <v>2.454545454545455</v>
      </c>
      <c r="S185" s="28">
        <v>1.204742127034153</v>
      </c>
      <c r="T185" s="28">
        <v>0.49082086656946972</v>
      </c>
      <c r="U185" s="28">
        <v>1.4019864361078751</v>
      </c>
      <c r="V185" s="27" t="s">
        <v>500</v>
      </c>
    </row>
    <row r="186" spans="1:22" x14ac:dyDescent="0.25">
      <c r="A186" s="27" t="s">
        <v>372</v>
      </c>
      <c r="B186" s="27">
        <v>112</v>
      </c>
      <c r="C186" s="27">
        <v>107</v>
      </c>
      <c r="D186" s="27">
        <v>100</v>
      </c>
      <c r="E186" s="27">
        <v>91</v>
      </c>
      <c r="F186" s="27">
        <v>87</v>
      </c>
      <c r="G186" s="27">
        <v>91</v>
      </c>
      <c r="H186" s="27">
        <v>137</v>
      </c>
      <c r="I186" s="27">
        <v>158</v>
      </c>
      <c r="J186" s="27">
        <v>89</v>
      </c>
      <c r="K186" s="27">
        <v>2</v>
      </c>
      <c r="L186" s="28">
        <v>1.230337078651685</v>
      </c>
      <c r="M186" s="28">
        <v>3.9413893895345047E-2</v>
      </c>
      <c r="N186" s="28">
        <v>3.2035037047358078E-2</v>
      </c>
      <c r="O186" s="28">
        <v>1.0730337078651691</v>
      </c>
      <c r="P186" s="28">
        <v>5.6017299157770289E-2</v>
      </c>
      <c r="Q186" s="28">
        <v>5.2204603403576487E-2</v>
      </c>
      <c r="R186" s="28">
        <v>1.657303370786517</v>
      </c>
      <c r="S186" s="28">
        <v>0.12371629330262859</v>
      </c>
      <c r="T186" s="28">
        <v>7.4649153247009797E-2</v>
      </c>
      <c r="U186" s="28">
        <v>0.1588887936979444</v>
      </c>
      <c r="V186" s="27" t="s">
        <v>502</v>
      </c>
    </row>
    <row r="187" spans="1:22" x14ac:dyDescent="0.25">
      <c r="A187" s="27" t="s">
        <v>374</v>
      </c>
      <c r="B187" s="27">
        <v>482</v>
      </c>
      <c r="C187" s="27">
        <v>296</v>
      </c>
      <c r="D187" s="27">
        <v>610</v>
      </c>
      <c r="E187" s="27">
        <v>465</v>
      </c>
      <c r="F187" s="27">
        <v>455</v>
      </c>
      <c r="G187" s="27">
        <v>526</v>
      </c>
      <c r="H187" s="27">
        <v>912</v>
      </c>
      <c r="I187" s="27">
        <v>678</v>
      </c>
      <c r="J187" s="27">
        <v>490.5</v>
      </c>
      <c r="K187" s="27">
        <v>35.5</v>
      </c>
      <c r="L187" s="28">
        <v>0.79306829765545361</v>
      </c>
      <c r="M187" s="28">
        <v>0.19810014191607639</v>
      </c>
      <c r="N187" s="28">
        <v>0.2497895105651298</v>
      </c>
      <c r="O187" s="28">
        <v>1.0958205912334349</v>
      </c>
      <c r="P187" s="28">
        <v>0.16774209850224669</v>
      </c>
      <c r="Q187" s="28">
        <v>0.15307441733088739</v>
      </c>
      <c r="R187" s="28">
        <v>1.620795107033639</v>
      </c>
      <c r="S187" s="28">
        <v>0.26581589452899268</v>
      </c>
      <c r="T187" s="28">
        <v>0.16400339153015209</v>
      </c>
      <c r="U187" s="28">
        <v>0.56686731942616941</v>
      </c>
      <c r="V187" s="27" t="s">
        <v>499</v>
      </c>
    </row>
    <row r="188" spans="1:22" x14ac:dyDescent="0.25">
      <c r="A188" s="27" t="s">
        <v>376</v>
      </c>
      <c r="B188" s="27">
        <v>46</v>
      </c>
      <c r="C188" s="27">
        <v>38</v>
      </c>
      <c r="D188" s="27">
        <v>58</v>
      </c>
      <c r="E188" s="27">
        <v>41</v>
      </c>
      <c r="F188" s="27">
        <v>51</v>
      </c>
      <c r="G188" s="27">
        <v>59</v>
      </c>
      <c r="H188" s="27">
        <v>93</v>
      </c>
      <c r="I188" s="27">
        <v>62</v>
      </c>
      <c r="J188" s="27">
        <v>55</v>
      </c>
      <c r="K188" s="27">
        <v>4</v>
      </c>
      <c r="L188" s="28">
        <v>0.76363636363636367</v>
      </c>
      <c r="M188" s="28">
        <v>9.1507571711978611E-2</v>
      </c>
      <c r="N188" s="28">
        <v>0.1198313439085434</v>
      </c>
      <c r="O188" s="28">
        <v>0.9</v>
      </c>
      <c r="P188" s="28">
        <v>0.1678350232857323</v>
      </c>
      <c r="Q188" s="28">
        <v>0.18648335920636919</v>
      </c>
      <c r="R188" s="28">
        <v>1.4090909090909089</v>
      </c>
      <c r="S188" s="28">
        <v>0.29987247705149461</v>
      </c>
      <c r="T188" s="28">
        <v>0.2128127256494477</v>
      </c>
      <c r="U188" s="28">
        <v>0.51912742876436035</v>
      </c>
      <c r="V188" s="27" t="s">
        <v>498</v>
      </c>
    </row>
    <row r="189" spans="1:22" x14ac:dyDescent="0.25">
      <c r="A189" s="27" t="s">
        <v>378</v>
      </c>
      <c r="B189" s="27">
        <v>317</v>
      </c>
      <c r="C189" s="27">
        <v>177</v>
      </c>
      <c r="D189" s="27">
        <v>327</v>
      </c>
      <c r="E189" s="27">
        <v>257</v>
      </c>
      <c r="F189" s="27">
        <v>303</v>
      </c>
      <c r="G189" s="27">
        <v>332</v>
      </c>
      <c r="H189" s="27">
        <v>549</v>
      </c>
      <c r="I189" s="27">
        <v>458</v>
      </c>
      <c r="J189" s="27">
        <v>317.5</v>
      </c>
      <c r="K189" s="27">
        <v>14.5</v>
      </c>
      <c r="L189" s="28">
        <v>0.77795275590551183</v>
      </c>
      <c r="M189" s="28">
        <v>0.2233167596854557</v>
      </c>
      <c r="N189" s="28">
        <v>0.28705696842158768</v>
      </c>
      <c r="O189" s="28">
        <v>0.91968503937007873</v>
      </c>
      <c r="P189" s="28">
        <v>0.1179666854757658</v>
      </c>
      <c r="Q189" s="28">
        <v>0.12826857067998509</v>
      </c>
      <c r="R189" s="28">
        <v>1.585826771653543</v>
      </c>
      <c r="S189" s="28">
        <v>0.16056804388158111</v>
      </c>
      <c r="T189" s="28">
        <v>0.10125194425501879</v>
      </c>
      <c r="U189" s="28">
        <v>0.5165774833565917</v>
      </c>
      <c r="V189" s="27" t="s">
        <v>498</v>
      </c>
    </row>
    <row r="190" spans="1:22" x14ac:dyDescent="0.25">
      <c r="A190" s="27" t="s">
        <v>380</v>
      </c>
      <c r="B190" s="27">
        <v>797</v>
      </c>
      <c r="C190" s="27">
        <v>550</v>
      </c>
      <c r="D190" s="27">
        <v>836</v>
      </c>
      <c r="E190" s="27">
        <v>708</v>
      </c>
      <c r="F190" s="27">
        <v>774</v>
      </c>
      <c r="G190" s="27">
        <v>925</v>
      </c>
      <c r="H190" s="27">
        <v>1499</v>
      </c>
      <c r="I190" s="27">
        <v>1192</v>
      </c>
      <c r="J190" s="27">
        <v>849.5</v>
      </c>
      <c r="K190" s="27">
        <v>75.5</v>
      </c>
      <c r="L190" s="28">
        <v>0.79281930547380808</v>
      </c>
      <c r="M190" s="28">
        <v>0.16155555143358749</v>
      </c>
      <c r="N190" s="28">
        <v>0.20377348321133279</v>
      </c>
      <c r="O190" s="28">
        <v>0.90876986462625076</v>
      </c>
      <c r="P190" s="28">
        <v>0.11045041485241899</v>
      </c>
      <c r="Q190" s="28">
        <v>0.12153837748332889</v>
      </c>
      <c r="R190" s="28">
        <v>1.583872866391995</v>
      </c>
      <c r="S190" s="28">
        <v>0.22905487723521781</v>
      </c>
      <c r="T190" s="28">
        <v>0.14461695890844861</v>
      </c>
      <c r="U190" s="28">
        <v>0.46992881960311028</v>
      </c>
      <c r="V190" s="27" t="s">
        <v>498</v>
      </c>
    </row>
    <row r="191" spans="1:22" x14ac:dyDescent="0.25">
      <c r="A191" s="27" t="s">
        <v>380</v>
      </c>
      <c r="B191" s="27">
        <v>724</v>
      </c>
      <c r="C191" s="27">
        <v>704</v>
      </c>
      <c r="D191" s="27">
        <v>694</v>
      </c>
      <c r="E191" s="27">
        <v>846</v>
      </c>
      <c r="F191" s="27">
        <v>652</v>
      </c>
      <c r="G191" s="27">
        <v>975</v>
      </c>
      <c r="H191" s="27">
        <v>1720</v>
      </c>
      <c r="I191" s="27">
        <v>1098</v>
      </c>
      <c r="J191" s="27">
        <v>813.5</v>
      </c>
      <c r="K191" s="27">
        <v>161.5</v>
      </c>
      <c r="L191" s="28">
        <v>0.87768899815611556</v>
      </c>
      <c r="M191" s="28">
        <v>0.17467618574308269</v>
      </c>
      <c r="N191" s="28">
        <v>0.19901831526890451</v>
      </c>
      <c r="O191" s="28">
        <v>0.9465273509526736</v>
      </c>
      <c r="P191" s="28">
        <v>0.20985192176947229</v>
      </c>
      <c r="Q191" s="28">
        <v>0.22170719267463079</v>
      </c>
      <c r="R191" s="28">
        <v>1.732022126613399</v>
      </c>
      <c r="S191" s="28">
        <v>0.51418361133189316</v>
      </c>
      <c r="T191" s="28">
        <v>0.29686896225585169</v>
      </c>
      <c r="U191" s="28">
        <v>0.71759447019938705</v>
      </c>
      <c r="V191" s="27" t="s">
        <v>500</v>
      </c>
    </row>
    <row r="192" spans="1:22" x14ac:dyDescent="0.25">
      <c r="A192" s="27" t="s">
        <v>382</v>
      </c>
      <c r="B192" s="27">
        <v>69</v>
      </c>
      <c r="C192" s="27">
        <v>66</v>
      </c>
      <c r="D192" s="27">
        <v>59</v>
      </c>
      <c r="E192" s="27">
        <v>64</v>
      </c>
      <c r="F192" s="27">
        <v>61</v>
      </c>
      <c r="G192" s="27">
        <v>61</v>
      </c>
      <c r="H192" s="27">
        <v>68</v>
      </c>
      <c r="I192" s="27">
        <v>101</v>
      </c>
      <c r="J192" s="27">
        <v>61</v>
      </c>
      <c r="K192" s="27">
        <v>0</v>
      </c>
      <c r="L192" s="28">
        <v>1.1065573770491799</v>
      </c>
      <c r="M192" s="28">
        <v>2.4590163934426229E-2</v>
      </c>
      <c r="N192" s="28">
        <v>2.222222222222222E-2</v>
      </c>
      <c r="O192" s="28">
        <v>1.0081967213114751</v>
      </c>
      <c r="P192" s="28">
        <v>4.0983606557377053E-2</v>
      </c>
      <c r="Q192" s="28">
        <v>4.065040650406504E-2</v>
      </c>
      <c r="R192" s="28">
        <v>1.3852459016393439</v>
      </c>
      <c r="S192" s="28">
        <v>0.27049180327868849</v>
      </c>
      <c r="T192" s="28">
        <v>0.19526627218934911</v>
      </c>
      <c r="U192" s="28">
        <v>0.2581389009156364</v>
      </c>
      <c r="V192" s="27" t="s">
        <v>502</v>
      </c>
    </row>
    <row r="193" spans="1:22" x14ac:dyDescent="0.25">
      <c r="A193" s="27" t="s">
        <v>384</v>
      </c>
      <c r="B193" s="27">
        <v>164</v>
      </c>
      <c r="C193" s="27">
        <v>138</v>
      </c>
      <c r="D193" s="27">
        <v>206</v>
      </c>
      <c r="E193" s="27">
        <v>157</v>
      </c>
      <c r="F193" s="27">
        <v>158</v>
      </c>
      <c r="G193" s="27">
        <v>185</v>
      </c>
      <c r="H193" s="27">
        <v>326</v>
      </c>
      <c r="I193" s="27">
        <v>251</v>
      </c>
      <c r="J193" s="27">
        <v>171.5</v>
      </c>
      <c r="K193" s="27">
        <v>13.5</v>
      </c>
      <c r="L193" s="28">
        <v>0.88046647230320696</v>
      </c>
      <c r="M193" s="28">
        <v>0.10271068179187021</v>
      </c>
      <c r="N193" s="28">
        <v>0.1166548472007003</v>
      </c>
      <c r="O193" s="28">
        <v>1.058309037900875</v>
      </c>
      <c r="P193" s="28">
        <v>0.16537303411717641</v>
      </c>
      <c r="Q193" s="28">
        <v>0.15626157218234579</v>
      </c>
      <c r="R193" s="28">
        <v>1.6822157434402329</v>
      </c>
      <c r="S193" s="28">
        <v>0.25562978330657732</v>
      </c>
      <c r="T193" s="28">
        <v>0.15196016581309529</v>
      </c>
      <c r="U193" s="28">
        <v>0.42487658519614141</v>
      </c>
      <c r="V193" s="27" t="s">
        <v>501</v>
      </c>
    </row>
    <row r="194" spans="1:22" x14ac:dyDescent="0.25">
      <c r="A194" s="27" t="s">
        <v>386</v>
      </c>
      <c r="B194" s="27">
        <v>51</v>
      </c>
      <c r="C194" s="27">
        <v>21</v>
      </c>
      <c r="D194" s="27">
        <v>40</v>
      </c>
      <c r="E194" s="27">
        <v>36</v>
      </c>
      <c r="F194" s="27">
        <v>33</v>
      </c>
      <c r="G194" s="27">
        <v>32</v>
      </c>
      <c r="H194" s="27">
        <v>69</v>
      </c>
      <c r="I194" s="27">
        <v>59</v>
      </c>
      <c r="J194" s="27">
        <v>32.5</v>
      </c>
      <c r="K194" s="27">
        <v>0.5</v>
      </c>
      <c r="L194" s="28">
        <v>1.107692307692308</v>
      </c>
      <c r="M194" s="28">
        <v>0.46185296521613872</v>
      </c>
      <c r="N194" s="28">
        <v>0.41695059359790299</v>
      </c>
      <c r="O194" s="28">
        <v>1.1692307692307691</v>
      </c>
      <c r="P194" s="28">
        <v>6.4113620651690462E-2</v>
      </c>
      <c r="Q194" s="28">
        <v>5.4834017662629998E-2</v>
      </c>
      <c r="R194" s="28">
        <v>1.9692307692307689</v>
      </c>
      <c r="S194" s="28">
        <v>0.15680075913238919</v>
      </c>
      <c r="T194" s="28">
        <v>7.9625385496916404E-2</v>
      </c>
      <c r="U194" s="28">
        <v>0.55140999675744939</v>
      </c>
      <c r="V194" s="27" t="s">
        <v>499</v>
      </c>
    </row>
    <row r="195" spans="1:22" x14ac:dyDescent="0.25">
      <c r="A195" s="27" t="s">
        <v>388</v>
      </c>
      <c r="B195" s="27">
        <v>33</v>
      </c>
      <c r="C195" s="27">
        <v>22</v>
      </c>
      <c r="D195" s="27">
        <v>24</v>
      </c>
      <c r="E195" s="27">
        <v>27</v>
      </c>
      <c r="F195" s="27">
        <v>37</v>
      </c>
      <c r="G195" s="27">
        <v>30</v>
      </c>
      <c r="H195" s="27">
        <v>36</v>
      </c>
      <c r="I195" s="27">
        <v>45</v>
      </c>
      <c r="J195" s="27">
        <v>33.5</v>
      </c>
      <c r="K195" s="27">
        <v>3.5</v>
      </c>
      <c r="L195" s="28">
        <v>0.82089552238805974</v>
      </c>
      <c r="M195" s="28">
        <v>0.18523079802058981</v>
      </c>
      <c r="N195" s="28">
        <v>0.22564479031599119</v>
      </c>
      <c r="O195" s="28">
        <v>0.76119402985074625</v>
      </c>
      <c r="P195" s="28">
        <v>9.1266430945072363E-2</v>
      </c>
      <c r="Q195" s="28">
        <v>0.11989903673176169</v>
      </c>
      <c r="R195" s="28">
        <v>1.208955223880597</v>
      </c>
      <c r="S195" s="28">
        <v>0.18438549113613861</v>
      </c>
      <c r="T195" s="28">
        <v>0.15251639390273189</v>
      </c>
      <c r="U195" s="28">
        <v>0.49806022095048491</v>
      </c>
      <c r="V195" s="27" t="s">
        <v>498</v>
      </c>
    </row>
    <row r="196" spans="1:22" x14ac:dyDescent="0.25">
      <c r="A196" s="27" t="s">
        <v>390</v>
      </c>
      <c r="B196" s="27">
        <v>736</v>
      </c>
      <c r="C196" s="27">
        <v>473</v>
      </c>
      <c r="D196" s="27">
        <v>788</v>
      </c>
      <c r="E196" s="27">
        <v>587</v>
      </c>
      <c r="F196" s="27">
        <v>670</v>
      </c>
      <c r="G196" s="27">
        <v>909</v>
      </c>
      <c r="H196" s="27">
        <v>1244</v>
      </c>
      <c r="I196" s="27">
        <v>1031</v>
      </c>
      <c r="J196" s="27">
        <v>789.5</v>
      </c>
      <c r="K196" s="27">
        <v>119.5</v>
      </c>
      <c r="L196" s="28">
        <v>0.76567447751741613</v>
      </c>
      <c r="M196" s="28">
        <v>0.20291368023613809</v>
      </c>
      <c r="N196" s="28">
        <v>0.26501298684273122</v>
      </c>
      <c r="O196" s="28">
        <v>0.87080430652311591</v>
      </c>
      <c r="P196" s="28">
        <v>0.1832406178696348</v>
      </c>
      <c r="Q196" s="28">
        <v>0.21042686226629331</v>
      </c>
      <c r="R196" s="28">
        <v>1.4407853071564281</v>
      </c>
      <c r="S196" s="28">
        <v>0.25642836972343691</v>
      </c>
      <c r="T196" s="28">
        <v>0.17797819595310191</v>
      </c>
      <c r="U196" s="28">
        <v>0.65341804506212642</v>
      </c>
      <c r="V196" s="27" t="s">
        <v>500</v>
      </c>
    </row>
    <row r="197" spans="1:22" x14ac:dyDescent="0.25">
      <c r="A197" s="27" t="s">
        <v>392</v>
      </c>
      <c r="B197" s="27">
        <v>95</v>
      </c>
      <c r="C197" s="27">
        <v>53</v>
      </c>
      <c r="D197" s="27">
        <v>68</v>
      </c>
      <c r="E197" s="27">
        <v>76</v>
      </c>
      <c r="F197" s="27">
        <v>85</v>
      </c>
      <c r="G197" s="27">
        <v>94</v>
      </c>
      <c r="H197" s="27">
        <v>103</v>
      </c>
      <c r="I197" s="27">
        <v>134</v>
      </c>
      <c r="J197" s="27">
        <v>89.5</v>
      </c>
      <c r="K197" s="27">
        <v>4.5</v>
      </c>
      <c r="L197" s="28">
        <v>0.82681564245810057</v>
      </c>
      <c r="M197" s="28">
        <v>0.2382911469673209</v>
      </c>
      <c r="N197" s="28">
        <v>0.28820348180507049</v>
      </c>
      <c r="O197" s="28">
        <v>0.8044692737430168</v>
      </c>
      <c r="P197" s="28">
        <v>6.0278484573768901E-2</v>
      </c>
      <c r="Q197" s="28">
        <v>7.4929505129893284E-2</v>
      </c>
      <c r="R197" s="28">
        <v>1.3240223463687151</v>
      </c>
      <c r="S197" s="28">
        <v>0.18553844311889811</v>
      </c>
      <c r="T197" s="28">
        <v>0.1401324106256657</v>
      </c>
      <c r="U197" s="28">
        <v>0.50326539756062949</v>
      </c>
      <c r="V197" s="27" t="s">
        <v>498</v>
      </c>
    </row>
    <row r="198" spans="1:22" x14ac:dyDescent="0.25">
      <c r="A198" s="27" t="s">
        <v>394</v>
      </c>
      <c r="B198" s="27">
        <v>1655</v>
      </c>
      <c r="C198" s="27">
        <v>1165</v>
      </c>
      <c r="D198" s="27">
        <v>1877</v>
      </c>
      <c r="E198" s="27">
        <v>1682</v>
      </c>
      <c r="F198" s="27">
        <v>1790</v>
      </c>
      <c r="G198" s="27">
        <v>1803</v>
      </c>
      <c r="H198" s="27">
        <v>2193</v>
      </c>
      <c r="I198" s="27">
        <v>2449</v>
      </c>
      <c r="J198" s="27">
        <v>1796.5</v>
      </c>
      <c r="K198" s="27">
        <v>6.5</v>
      </c>
      <c r="L198" s="28">
        <v>0.78485944892847204</v>
      </c>
      <c r="M198" s="28">
        <v>0.136405849654856</v>
      </c>
      <c r="N198" s="28">
        <v>0.1737965311382616</v>
      </c>
      <c r="O198" s="28">
        <v>0.99053715558029498</v>
      </c>
      <c r="P198" s="28">
        <v>5.4390400361425062E-2</v>
      </c>
      <c r="Q198" s="28">
        <v>5.4910005197696052E-2</v>
      </c>
      <c r="R198" s="28">
        <v>1.2919565822432511</v>
      </c>
      <c r="S198" s="28">
        <v>7.1402827416716316E-2</v>
      </c>
      <c r="T198" s="28">
        <v>5.5267203556282153E-2</v>
      </c>
      <c r="U198" s="28">
        <v>0.28397373989223967</v>
      </c>
      <c r="V198" s="27" t="s">
        <v>502</v>
      </c>
    </row>
    <row r="199" spans="1:22" x14ac:dyDescent="0.25">
      <c r="A199" s="27" t="s">
        <v>396</v>
      </c>
      <c r="B199" s="27">
        <v>3369</v>
      </c>
      <c r="C199" s="27">
        <v>2067</v>
      </c>
      <c r="D199" s="27">
        <v>3310</v>
      </c>
      <c r="E199" s="27">
        <v>2922</v>
      </c>
      <c r="F199" s="27">
        <v>3144</v>
      </c>
      <c r="G199" s="27">
        <v>3499</v>
      </c>
      <c r="H199" s="27">
        <v>5263</v>
      </c>
      <c r="I199" s="27">
        <v>4942</v>
      </c>
      <c r="J199" s="27">
        <v>3321.5</v>
      </c>
      <c r="K199" s="27">
        <v>177.5</v>
      </c>
      <c r="L199" s="28">
        <v>0.81830498268854435</v>
      </c>
      <c r="M199" s="28">
        <v>0.2008149871330642</v>
      </c>
      <c r="N199" s="28">
        <v>0.24540359814660509</v>
      </c>
      <c r="O199" s="28">
        <v>0.93813036278789708</v>
      </c>
      <c r="P199" s="28">
        <v>7.6972575765342E-2</v>
      </c>
      <c r="Q199" s="28">
        <v>8.2048912196592882E-2</v>
      </c>
      <c r="R199" s="28">
        <v>1.536203522504892</v>
      </c>
      <c r="S199" s="28">
        <v>9.5259859882536879E-2</v>
      </c>
      <c r="T199" s="28">
        <v>6.2009921528632293E-2</v>
      </c>
      <c r="U199" s="28">
        <v>0.38946243187183027</v>
      </c>
      <c r="V199" s="27" t="s">
        <v>501</v>
      </c>
    </row>
    <row r="200" spans="1:22" x14ac:dyDescent="0.25">
      <c r="A200" s="27" t="s">
        <v>398</v>
      </c>
      <c r="B200" s="27">
        <v>26</v>
      </c>
      <c r="C200" s="27">
        <v>26</v>
      </c>
      <c r="D200" s="27">
        <v>28</v>
      </c>
      <c r="E200" s="27">
        <v>27</v>
      </c>
      <c r="F200" s="27">
        <v>26</v>
      </c>
      <c r="G200" s="27">
        <v>31</v>
      </c>
      <c r="H200" s="27">
        <v>54</v>
      </c>
      <c r="I200" s="27">
        <v>33</v>
      </c>
      <c r="J200" s="27">
        <v>28.5</v>
      </c>
      <c r="K200" s="27">
        <v>2.5</v>
      </c>
      <c r="L200" s="28">
        <v>0.91228070175438591</v>
      </c>
      <c r="M200" s="28">
        <v>8.0024622960911035E-2</v>
      </c>
      <c r="N200" s="28">
        <v>8.771929824561403E-2</v>
      </c>
      <c r="O200" s="28">
        <v>0.96491228070175439</v>
      </c>
      <c r="P200" s="28">
        <v>8.6440490324658698E-2</v>
      </c>
      <c r="Q200" s="28">
        <v>8.9583780881919012E-2</v>
      </c>
      <c r="R200" s="28">
        <v>1.5263157894736841</v>
      </c>
      <c r="S200" s="28">
        <v>0.39199476335765071</v>
      </c>
      <c r="T200" s="28">
        <v>0.25682415530328828</v>
      </c>
      <c r="U200" s="28">
        <v>0.43412723443082141</v>
      </c>
      <c r="V200" s="27" t="s">
        <v>501</v>
      </c>
    </row>
    <row r="201" spans="1:22" x14ac:dyDescent="0.25">
      <c r="A201" s="27" t="s">
        <v>400</v>
      </c>
      <c r="B201" s="27">
        <v>396</v>
      </c>
      <c r="C201" s="27">
        <v>186</v>
      </c>
      <c r="D201" s="27">
        <v>319</v>
      </c>
      <c r="E201" s="27">
        <v>268</v>
      </c>
      <c r="F201" s="27">
        <v>302</v>
      </c>
      <c r="G201" s="27">
        <v>296</v>
      </c>
      <c r="H201" s="27">
        <v>412</v>
      </c>
      <c r="I201" s="27">
        <v>528</v>
      </c>
      <c r="J201" s="27">
        <v>299</v>
      </c>
      <c r="K201" s="27">
        <v>3</v>
      </c>
      <c r="L201" s="28">
        <v>0.97324414715719065</v>
      </c>
      <c r="M201" s="28">
        <v>0.35130630976677879</v>
      </c>
      <c r="N201" s="28">
        <v>0.36096421518992039</v>
      </c>
      <c r="O201" s="28">
        <v>0.98160535117056857</v>
      </c>
      <c r="P201" s="28">
        <v>8.5851086618639799E-2</v>
      </c>
      <c r="Q201" s="28">
        <v>8.7459880405360471E-2</v>
      </c>
      <c r="R201" s="28">
        <v>1.57190635451505</v>
      </c>
      <c r="S201" s="28">
        <v>0.19462003735746669</v>
      </c>
      <c r="T201" s="28">
        <v>0.12381147057421819</v>
      </c>
      <c r="U201" s="28">
        <v>0.57223556616949911</v>
      </c>
      <c r="V201" s="27" t="s">
        <v>499</v>
      </c>
    </row>
    <row r="202" spans="1:22" x14ac:dyDescent="0.25">
      <c r="A202" s="27" t="s">
        <v>402</v>
      </c>
      <c r="B202" s="27">
        <v>8</v>
      </c>
      <c r="C202" s="27">
        <v>8</v>
      </c>
      <c r="D202" s="27">
        <v>14</v>
      </c>
      <c r="E202" s="27">
        <v>7</v>
      </c>
      <c r="F202" s="27">
        <v>20</v>
      </c>
      <c r="G202" s="27">
        <v>13</v>
      </c>
      <c r="H202" s="27">
        <v>14</v>
      </c>
      <c r="I202" s="27">
        <v>24</v>
      </c>
      <c r="J202" s="27">
        <v>16.5</v>
      </c>
      <c r="K202" s="27">
        <v>3.5</v>
      </c>
      <c r="L202" s="28">
        <v>0.48484848484848492</v>
      </c>
      <c r="M202" s="28">
        <v>0.1028466483011938</v>
      </c>
      <c r="N202" s="28">
        <v>0.2121212121212121</v>
      </c>
      <c r="O202" s="28">
        <v>0.63636363636363635</v>
      </c>
      <c r="P202" s="28">
        <v>0.25142929386456497</v>
      </c>
      <c r="Q202" s="28">
        <v>0.39510317607288781</v>
      </c>
      <c r="R202" s="28">
        <v>1.151515151515152</v>
      </c>
      <c r="S202" s="28">
        <v>0.38921805963623601</v>
      </c>
      <c r="T202" s="28">
        <v>0.33800515705252071</v>
      </c>
      <c r="U202" s="28">
        <v>0.94522954524662062</v>
      </c>
      <c r="V202" s="27" t="s">
        <v>500</v>
      </c>
    </row>
    <row r="203" spans="1:22" x14ac:dyDescent="0.25">
      <c r="A203" s="27" t="s">
        <v>404</v>
      </c>
      <c r="B203" s="27">
        <v>73</v>
      </c>
      <c r="C203" s="27">
        <v>55</v>
      </c>
      <c r="D203" s="27">
        <v>75</v>
      </c>
      <c r="E203" s="27">
        <v>53</v>
      </c>
      <c r="F203" s="27">
        <v>52</v>
      </c>
      <c r="G203" s="27">
        <v>75</v>
      </c>
      <c r="H203" s="27">
        <v>127</v>
      </c>
      <c r="I203" s="27">
        <v>117</v>
      </c>
      <c r="J203" s="27">
        <v>63.5</v>
      </c>
      <c r="K203" s="27">
        <v>11.5</v>
      </c>
      <c r="L203" s="28">
        <v>1.007874015748031</v>
      </c>
      <c r="M203" s="28">
        <v>0.23109444871386089</v>
      </c>
      <c r="N203" s="28">
        <v>0.22928902333328391</v>
      </c>
      <c r="O203" s="28">
        <v>1.007874015748031</v>
      </c>
      <c r="P203" s="28">
        <v>0.25164392316605422</v>
      </c>
      <c r="Q203" s="28">
        <v>0.2496779550163194</v>
      </c>
      <c r="R203" s="28">
        <v>1.921259842519685</v>
      </c>
      <c r="S203" s="28">
        <v>0.35674293797857598</v>
      </c>
      <c r="T203" s="28">
        <v>0.1856817750954064</v>
      </c>
      <c r="U203" s="28">
        <v>0.66464875344500962</v>
      </c>
      <c r="V203" s="27" t="s">
        <v>500</v>
      </c>
    </row>
    <row r="204" spans="1:22" x14ac:dyDescent="0.25">
      <c r="A204" s="27" t="s">
        <v>406</v>
      </c>
      <c r="B204" s="27">
        <v>461</v>
      </c>
      <c r="C204" s="27">
        <v>329</v>
      </c>
      <c r="D204" s="27">
        <v>501</v>
      </c>
      <c r="E204" s="27">
        <v>434</v>
      </c>
      <c r="F204" s="27">
        <v>405</v>
      </c>
      <c r="G204" s="27">
        <v>519</v>
      </c>
      <c r="H204" s="27">
        <v>814</v>
      </c>
      <c r="I204" s="27">
        <v>544</v>
      </c>
      <c r="J204" s="27">
        <v>462</v>
      </c>
      <c r="K204" s="27">
        <v>57</v>
      </c>
      <c r="L204" s="28">
        <v>0.85497835497835495</v>
      </c>
      <c r="M204" s="28">
        <v>0.1775812765395047</v>
      </c>
      <c r="N204" s="28">
        <v>0.20770265762342069</v>
      </c>
      <c r="O204" s="28">
        <v>1.0119047619047621</v>
      </c>
      <c r="P204" s="28">
        <v>0.14437517605269379</v>
      </c>
      <c r="Q204" s="28">
        <v>0.1426766445697209</v>
      </c>
      <c r="R204" s="28">
        <v>1.4696969696969699</v>
      </c>
      <c r="S204" s="28">
        <v>0.34389620903350232</v>
      </c>
      <c r="T204" s="28">
        <v>0.23399123501248609</v>
      </c>
      <c r="U204" s="28">
        <v>0.5843705372056277</v>
      </c>
      <c r="V204" s="27" t="s">
        <v>499</v>
      </c>
    </row>
    <row r="205" spans="1:22" x14ac:dyDescent="0.25">
      <c r="A205" s="27" t="s">
        <v>408</v>
      </c>
      <c r="B205" s="27">
        <v>1621</v>
      </c>
      <c r="C205" s="27">
        <v>1166</v>
      </c>
      <c r="D205" s="27">
        <v>1656</v>
      </c>
      <c r="E205" s="27">
        <v>1453</v>
      </c>
      <c r="F205" s="27">
        <v>1515</v>
      </c>
      <c r="G205" s="27">
        <v>1711</v>
      </c>
      <c r="H205" s="27">
        <v>2841</v>
      </c>
      <c r="I205" s="27">
        <v>2633</v>
      </c>
      <c r="J205" s="27">
        <v>1613</v>
      </c>
      <c r="K205" s="27">
        <v>98</v>
      </c>
      <c r="L205" s="28">
        <v>0.86391816491010542</v>
      </c>
      <c r="M205" s="28">
        <v>0.15049172689953741</v>
      </c>
      <c r="N205" s="28">
        <v>0.1741967387792995</v>
      </c>
      <c r="O205" s="28">
        <v>0.96373217606943584</v>
      </c>
      <c r="P205" s="28">
        <v>8.5954327489529123E-2</v>
      </c>
      <c r="Q205" s="28">
        <v>8.9189019131946268E-2</v>
      </c>
      <c r="R205" s="28">
        <v>1.696838189708618</v>
      </c>
      <c r="S205" s="28">
        <v>0.1215955717872816</v>
      </c>
      <c r="T205" s="28">
        <v>7.1660086698167785E-2</v>
      </c>
      <c r="U205" s="28">
        <v>0.33504584460941361</v>
      </c>
      <c r="V205" s="27" t="s">
        <v>501</v>
      </c>
    </row>
    <row r="206" spans="1:22" x14ac:dyDescent="0.25">
      <c r="A206" s="27" t="s">
        <v>410</v>
      </c>
      <c r="B206" s="27">
        <v>10</v>
      </c>
      <c r="C206" s="27">
        <v>4</v>
      </c>
      <c r="D206" s="27">
        <v>7</v>
      </c>
      <c r="E206" s="27">
        <v>8</v>
      </c>
      <c r="F206" s="27">
        <v>12</v>
      </c>
      <c r="G206" s="27">
        <v>13</v>
      </c>
      <c r="H206" s="27">
        <v>10</v>
      </c>
      <c r="I206" s="27">
        <v>7</v>
      </c>
      <c r="J206" s="27">
        <v>12.5</v>
      </c>
      <c r="K206" s="27">
        <v>0.5</v>
      </c>
      <c r="L206" s="28">
        <v>0.56000000000000005</v>
      </c>
      <c r="M206" s="28">
        <v>0.24104306669141101</v>
      </c>
      <c r="N206" s="28">
        <v>0.43043404766323379</v>
      </c>
      <c r="O206" s="28">
        <v>0.6</v>
      </c>
      <c r="P206" s="28">
        <v>4.6647615158762402E-2</v>
      </c>
      <c r="Q206" s="28">
        <v>7.7746025264604002E-2</v>
      </c>
      <c r="R206" s="28">
        <v>0.68</v>
      </c>
      <c r="S206" s="28">
        <v>0.1230440571502744</v>
      </c>
      <c r="T206" s="28">
        <v>0.18094714286805061</v>
      </c>
      <c r="U206" s="28">
        <v>0.68912721579588854</v>
      </c>
      <c r="V206" s="27" t="s">
        <v>500</v>
      </c>
    </row>
    <row r="207" spans="1:22" x14ac:dyDescent="0.25">
      <c r="A207" s="27" t="s">
        <v>412</v>
      </c>
      <c r="B207" s="27">
        <v>10</v>
      </c>
      <c r="C207" s="27">
        <v>4</v>
      </c>
      <c r="D207" s="27">
        <v>7</v>
      </c>
      <c r="E207" s="27">
        <v>11</v>
      </c>
      <c r="F207" s="27">
        <v>10</v>
      </c>
      <c r="G207" s="27">
        <v>13</v>
      </c>
      <c r="H207" s="27">
        <v>10</v>
      </c>
      <c r="I207" s="27">
        <v>17</v>
      </c>
      <c r="J207" s="27">
        <v>11.5</v>
      </c>
      <c r="K207" s="27">
        <v>1.5</v>
      </c>
      <c r="L207" s="28">
        <v>0.60869565217391308</v>
      </c>
      <c r="M207" s="28">
        <v>0.27268390049537938</v>
      </c>
      <c r="N207" s="28">
        <v>0.44798069367098042</v>
      </c>
      <c r="O207" s="28">
        <v>0.78260869565217395</v>
      </c>
      <c r="P207" s="28">
        <v>0.20165800155908639</v>
      </c>
      <c r="Q207" s="28">
        <v>0.25767411310327698</v>
      </c>
      <c r="R207" s="28">
        <v>1.173913043478261</v>
      </c>
      <c r="S207" s="28">
        <v>0.34069496000228072</v>
      </c>
      <c r="T207" s="28">
        <v>0.29022163259453537</v>
      </c>
      <c r="U207" s="28">
        <v>0.99587643936879278</v>
      </c>
      <c r="V207" s="27" t="s">
        <v>500</v>
      </c>
    </row>
    <row r="208" spans="1:22" x14ac:dyDescent="0.25">
      <c r="A208" s="27" t="s">
        <v>414</v>
      </c>
      <c r="B208" s="27">
        <v>8</v>
      </c>
      <c r="C208" s="27">
        <v>6</v>
      </c>
      <c r="D208" s="27">
        <v>6</v>
      </c>
      <c r="E208" s="27">
        <v>12</v>
      </c>
      <c r="F208" s="27">
        <v>9</v>
      </c>
      <c r="G208" s="27">
        <v>6</v>
      </c>
      <c r="H208" s="27">
        <v>5</v>
      </c>
      <c r="I208" s="27">
        <v>10</v>
      </c>
      <c r="J208" s="27">
        <v>7.5</v>
      </c>
      <c r="K208" s="27">
        <v>1.5</v>
      </c>
      <c r="L208" s="28">
        <v>0.93333333333333335</v>
      </c>
      <c r="M208" s="28">
        <v>0.22939534045446999</v>
      </c>
      <c r="N208" s="28">
        <v>0.2457807219155036</v>
      </c>
      <c r="O208" s="28">
        <v>1.2</v>
      </c>
      <c r="P208" s="28">
        <v>0.46647615158762401</v>
      </c>
      <c r="Q208" s="28">
        <v>0.38873012632302001</v>
      </c>
      <c r="R208" s="28">
        <v>1</v>
      </c>
      <c r="S208" s="28">
        <v>0.38873012632302001</v>
      </c>
      <c r="T208" s="28">
        <v>0.38873012632302001</v>
      </c>
      <c r="U208" s="28">
        <v>1.0232409745615441</v>
      </c>
      <c r="V208" s="27" t="s">
        <v>500</v>
      </c>
    </row>
    <row r="209" spans="1:22" x14ac:dyDescent="0.25">
      <c r="A209" s="27" t="s">
        <v>416</v>
      </c>
      <c r="B209" s="27">
        <v>42</v>
      </c>
      <c r="C209" s="27">
        <v>26</v>
      </c>
      <c r="D209" s="27">
        <v>42</v>
      </c>
      <c r="E209" s="27">
        <v>34</v>
      </c>
      <c r="F209" s="27">
        <v>40</v>
      </c>
      <c r="G209" s="27">
        <v>35</v>
      </c>
      <c r="H209" s="27">
        <v>54</v>
      </c>
      <c r="I209" s="27">
        <v>67</v>
      </c>
      <c r="J209" s="27">
        <v>37.5</v>
      </c>
      <c r="K209" s="27">
        <v>2.5</v>
      </c>
      <c r="L209" s="28">
        <v>0.90666666666666662</v>
      </c>
      <c r="M209" s="28">
        <v>0.22173101266017939</v>
      </c>
      <c r="N209" s="28">
        <v>0.24455626396343319</v>
      </c>
      <c r="O209" s="28">
        <v>1.013333333333333</v>
      </c>
      <c r="P209" s="28">
        <v>0.12625977532134899</v>
      </c>
      <c r="Q209" s="28">
        <v>0.1245984624881734</v>
      </c>
      <c r="R209" s="28">
        <v>1.6133333333333331</v>
      </c>
      <c r="S209" s="28">
        <v>0.2039917693812881</v>
      </c>
      <c r="T209" s="28">
        <v>0.126441179368567</v>
      </c>
      <c r="U209" s="28">
        <v>0.4955959058201736</v>
      </c>
      <c r="V209" s="27" t="s">
        <v>498</v>
      </c>
    </row>
    <row r="210" spans="1:22" x14ac:dyDescent="0.25">
      <c r="A210" s="27" t="s">
        <v>418</v>
      </c>
      <c r="B210" s="27">
        <v>981</v>
      </c>
      <c r="C210" s="27">
        <v>475</v>
      </c>
      <c r="D210" s="27">
        <v>936</v>
      </c>
      <c r="E210" s="27">
        <v>831</v>
      </c>
      <c r="F210" s="27">
        <v>806</v>
      </c>
      <c r="G210" s="27">
        <v>972</v>
      </c>
      <c r="H210" s="27">
        <v>1427</v>
      </c>
      <c r="I210" s="27">
        <v>1305</v>
      </c>
      <c r="J210" s="27">
        <v>889</v>
      </c>
      <c r="K210" s="27">
        <v>83</v>
      </c>
      <c r="L210" s="28">
        <v>0.81889763779527558</v>
      </c>
      <c r="M210" s="28">
        <v>0.29468035247757091</v>
      </c>
      <c r="N210" s="28">
        <v>0.3598500458139568</v>
      </c>
      <c r="O210" s="28">
        <v>0.99381327334083236</v>
      </c>
      <c r="P210" s="28">
        <v>0.1099849812598605</v>
      </c>
      <c r="Q210" s="28">
        <v>0.110669664221863</v>
      </c>
      <c r="R210" s="28">
        <v>1.536557930258718</v>
      </c>
      <c r="S210" s="28">
        <v>0.15902345251691871</v>
      </c>
      <c r="T210" s="28">
        <v>0.1034933010889757</v>
      </c>
      <c r="U210" s="28">
        <v>0.57401301112479552</v>
      </c>
      <c r="V210" s="27" t="s">
        <v>499</v>
      </c>
    </row>
    <row r="211" spans="1:22" x14ac:dyDescent="0.25">
      <c r="A211" s="27" t="s">
        <v>420</v>
      </c>
      <c r="B211" s="27">
        <v>79</v>
      </c>
      <c r="C211" s="27">
        <v>63</v>
      </c>
      <c r="D211" s="27">
        <v>82</v>
      </c>
      <c r="E211" s="27">
        <v>76</v>
      </c>
      <c r="F211" s="27">
        <v>78</v>
      </c>
      <c r="G211" s="27">
        <v>90</v>
      </c>
      <c r="H211" s="27">
        <v>75</v>
      </c>
      <c r="I211" s="27">
        <v>114</v>
      </c>
      <c r="J211" s="27">
        <v>84</v>
      </c>
      <c r="K211" s="27">
        <v>6</v>
      </c>
      <c r="L211" s="28">
        <v>0.84523809523809523</v>
      </c>
      <c r="M211" s="28">
        <v>0.1127622841722007</v>
      </c>
      <c r="N211" s="28">
        <v>0.13340889958401209</v>
      </c>
      <c r="O211" s="28">
        <v>0.94047619047619047</v>
      </c>
      <c r="P211" s="28">
        <v>7.6080497945369321E-2</v>
      </c>
      <c r="Q211" s="28">
        <v>8.0895719334316746E-2</v>
      </c>
      <c r="R211" s="28">
        <v>1.125</v>
      </c>
      <c r="S211" s="28">
        <v>0.2456574373606715</v>
      </c>
      <c r="T211" s="28">
        <v>0.21836216654281909</v>
      </c>
      <c r="U211" s="28">
        <v>0.43266678546114801</v>
      </c>
      <c r="V211" s="27" t="s">
        <v>501</v>
      </c>
    </row>
    <row r="212" spans="1:22" x14ac:dyDescent="0.25">
      <c r="A212" s="27" t="s">
        <v>422</v>
      </c>
      <c r="B212" s="27">
        <v>1585</v>
      </c>
      <c r="C212" s="27">
        <v>1224</v>
      </c>
      <c r="D212" s="27">
        <v>1602</v>
      </c>
      <c r="E212" s="27">
        <v>1348</v>
      </c>
      <c r="F212" s="27">
        <v>1309</v>
      </c>
      <c r="G212" s="27">
        <v>1655</v>
      </c>
      <c r="H212" s="27">
        <v>2679</v>
      </c>
      <c r="I212" s="27">
        <v>2221</v>
      </c>
      <c r="J212" s="27">
        <v>1482</v>
      </c>
      <c r="K212" s="27">
        <v>173</v>
      </c>
      <c r="L212" s="28">
        <v>0.9477058029689609</v>
      </c>
      <c r="M212" s="28">
        <v>0.16453845955566329</v>
      </c>
      <c r="N212" s="28">
        <v>0.17361765543716129</v>
      </c>
      <c r="O212" s="28">
        <v>0.99527665317139002</v>
      </c>
      <c r="P212" s="28">
        <v>0.14436782736129539</v>
      </c>
      <c r="Q212" s="28">
        <v>0.1450529628131795</v>
      </c>
      <c r="R212" s="28">
        <v>1.653171390013495</v>
      </c>
      <c r="S212" s="28">
        <v>0.24722174442114889</v>
      </c>
      <c r="T212" s="28">
        <v>0.14954392866618069</v>
      </c>
      <c r="U212" s="28">
        <v>0.46821454691652142</v>
      </c>
      <c r="V212" s="27" t="s">
        <v>498</v>
      </c>
    </row>
    <row r="213" spans="1:22" x14ac:dyDescent="0.25">
      <c r="A213" s="27" t="s">
        <v>424</v>
      </c>
      <c r="B213" s="27">
        <v>173</v>
      </c>
      <c r="C213" s="27">
        <v>114</v>
      </c>
      <c r="D213" s="27">
        <v>191</v>
      </c>
      <c r="E213" s="27">
        <v>138</v>
      </c>
      <c r="F213" s="27">
        <v>135</v>
      </c>
      <c r="G213" s="27">
        <v>180</v>
      </c>
      <c r="H213" s="27">
        <v>275</v>
      </c>
      <c r="I213" s="27">
        <v>252</v>
      </c>
      <c r="J213" s="27">
        <v>157.5</v>
      </c>
      <c r="K213" s="27">
        <v>22.5</v>
      </c>
      <c r="L213" s="28">
        <v>0.91111111111111109</v>
      </c>
      <c r="M213" s="28">
        <v>0.22808590408490231</v>
      </c>
      <c r="N213" s="28">
        <v>0.25033818741025871</v>
      </c>
      <c r="O213" s="28">
        <v>1.044444444444445</v>
      </c>
      <c r="P213" s="28">
        <v>0.22488204124983921</v>
      </c>
      <c r="Q213" s="28">
        <v>0.21531259268601621</v>
      </c>
      <c r="R213" s="28">
        <v>1.6730158730158731</v>
      </c>
      <c r="S213" s="28">
        <v>0.24990678585752479</v>
      </c>
      <c r="T213" s="28">
        <v>0.14937502380478229</v>
      </c>
      <c r="U213" s="28">
        <v>0.61502580390105721</v>
      </c>
      <c r="V213" s="27" t="s">
        <v>499</v>
      </c>
    </row>
    <row r="214" spans="1:22" x14ac:dyDescent="0.25">
      <c r="A214" s="27" t="s">
        <v>426</v>
      </c>
      <c r="B214" s="27">
        <v>2214</v>
      </c>
      <c r="C214" s="27">
        <v>2104</v>
      </c>
      <c r="D214" s="27">
        <v>1864</v>
      </c>
      <c r="E214" s="27">
        <v>1901</v>
      </c>
      <c r="F214" s="27">
        <v>2161</v>
      </c>
      <c r="G214" s="27">
        <v>2024</v>
      </c>
      <c r="H214" s="27">
        <v>2306</v>
      </c>
      <c r="I214" s="27">
        <v>2915</v>
      </c>
      <c r="J214" s="27">
        <v>2092.5</v>
      </c>
      <c r="K214" s="27">
        <v>68.5</v>
      </c>
      <c r="L214" s="28">
        <v>1.0317801672640381</v>
      </c>
      <c r="M214" s="28">
        <v>4.2798440685798328E-2</v>
      </c>
      <c r="N214" s="28">
        <v>4.1480193207518758E-2</v>
      </c>
      <c r="O214" s="28">
        <v>0.89964157706093195</v>
      </c>
      <c r="P214" s="28">
        <v>3.0749061378014499E-2</v>
      </c>
      <c r="Q214" s="28">
        <v>3.4179235555641618E-2</v>
      </c>
      <c r="R214" s="28">
        <v>1.2475507765830349</v>
      </c>
      <c r="S214" s="28">
        <v>0.1511419006467036</v>
      </c>
      <c r="T214" s="28">
        <v>0.1211509010163675</v>
      </c>
      <c r="U214" s="28">
        <v>0.19681032977952789</v>
      </c>
      <c r="V214" s="27" t="s">
        <v>502</v>
      </c>
    </row>
    <row r="215" spans="1:22" x14ac:dyDescent="0.25">
      <c r="A215" s="27" t="s">
        <v>428</v>
      </c>
      <c r="B215" s="27">
        <v>4587</v>
      </c>
      <c r="C215" s="27">
        <v>3317</v>
      </c>
      <c r="D215" s="27">
        <v>4347</v>
      </c>
      <c r="E215" s="27">
        <v>4157</v>
      </c>
      <c r="F215" s="27">
        <v>4014</v>
      </c>
      <c r="G215" s="27">
        <v>4958</v>
      </c>
      <c r="H215" s="27">
        <v>7259</v>
      </c>
      <c r="I215" s="27">
        <v>7010</v>
      </c>
      <c r="J215" s="27">
        <v>4486</v>
      </c>
      <c r="K215" s="27">
        <v>472</v>
      </c>
      <c r="L215" s="28">
        <v>0.88096299598751671</v>
      </c>
      <c r="M215" s="28">
        <v>0.16919975979529911</v>
      </c>
      <c r="N215" s="28">
        <v>0.19206227794577721</v>
      </c>
      <c r="O215" s="28">
        <v>0.94783771734284439</v>
      </c>
      <c r="P215" s="28">
        <v>0.1019515624197143</v>
      </c>
      <c r="Q215" s="28">
        <v>0.1075622551775255</v>
      </c>
      <c r="R215" s="28">
        <v>1.5903923316986179</v>
      </c>
      <c r="S215" s="28">
        <v>0.1696209285400111</v>
      </c>
      <c r="T215" s="28">
        <v>0.10665351256997541</v>
      </c>
      <c r="U215" s="28">
        <v>0.40627804569327808</v>
      </c>
      <c r="V215" s="27" t="s">
        <v>501</v>
      </c>
    </row>
    <row r="216" spans="1:22" x14ac:dyDescent="0.25">
      <c r="A216" s="27" t="s">
        <v>430</v>
      </c>
      <c r="B216" s="27">
        <v>322</v>
      </c>
      <c r="C216" s="27">
        <v>253</v>
      </c>
      <c r="D216" s="27">
        <v>298</v>
      </c>
      <c r="E216" s="27">
        <v>293</v>
      </c>
      <c r="F216" s="27">
        <v>257</v>
      </c>
      <c r="G216" s="27">
        <v>302</v>
      </c>
      <c r="H216" s="27">
        <v>617</v>
      </c>
      <c r="I216" s="27">
        <v>527</v>
      </c>
      <c r="J216" s="27">
        <v>279.5</v>
      </c>
      <c r="K216" s="27">
        <v>22.5</v>
      </c>
      <c r="L216" s="28">
        <v>1.028622540250447</v>
      </c>
      <c r="M216" s="28">
        <v>0.14863646962526841</v>
      </c>
      <c r="N216" s="28">
        <v>0.14450049829656531</v>
      </c>
      <c r="O216" s="28">
        <v>1.0572450805008939</v>
      </c>
      <c r="P216" s="28">
        <v>8.5577897098645439E-2</v>
      </c>
      <c r="Q216" s="28">
        <v>8.0944237695673105E-2</v>
      </c>
      <c r="R216" s="28">
        <v>2.0465116279069768</v>
      </c>
      <c r="S216" s="28">
        <v>0.23035369761192859</v>
      </c>
      <c r="T216" s="28">
        <v>0.11255919315128329</v>
      </c>
      <c r="U216" s="28">
        <v>0.33800392914352168</v>
      </c>
      <c r="V216" s="27" t="s">
        <v>501</v>
      </c>
    </row>
    <row r="217" spans="1:22" x14ac:dyDescent="0.25">
      <c r="A217" s="27" t="s">
        <v>432</v>
      </c>
      <c r="B217" s="27">
        <v>31</v>
      </c>
      <c r="C217" s="27">
        <v>27</v>
      </c>
      <c r="D217" s="27">
        <v>42</v>
      </c>
      <c r="E217" s="27">
        <v>34</v>
      </c>
      <c r="F217" s="27">
        <v>45</v>
      </c>
      <c r="G217" s="27">
        <v>46</v>
      </c>
      <c r="H217" s="27">
        <v>67</v>
      </c>
      <c r="I217" s="27">
        <v>53</v>
      </c>
      <c r="J217" s="27">
        <v>45.5</v>
      </c>
      <c r="K217" s="27">
        <v>0.5</v>
      </c>
      <c r="L217" s="28">
        <v>0.63736263736263732</v>
      </c>
      <c r="M217" s="28">
        <v>4.4510556124469872E-2</v>
      </c>
      <c r="N217" s="28">
        <v>6.9835527712530321E-2</v>
      </c>
      <c r="O217" s="28">
        <v>0.8351648351648352</v>
      </c>
      <c r="P217" s="28">
        <v>8.8389842150410361E-2</v>
      </c>
      <c r="Q217" s="28">
        <v>0.1058352057327282</v>
      </c>
      <c r="R217" s="28">
        <v>1.3186813186813191</v>
      </c>
      <c r="S217" s="28">
        <v>0.154527111652775</v>
      </c>
      <c r="T217" s="28">
        <v>0.1171830596700211</v>
      </c>
      <c r="U217" s="28">
        <v>0.29285379311527959</v>
      </c>
      <c r="V217" s="27" t="s">
        <v>502</v>
      </c>
    </row>
    <row r="218" spans="1:22" x14ac:dyDescent="0.25">
      <c r="A218" s="27" t="s">
        <v>434</v>
      </c>
      <c r="B218" s="27">
        <v>14</v>
      </c>
      <c r="C218" s="27">
        <v>15</v>
      </c>
      <c r="D218" s="27">
        <v>17</v>
      </c>
      <c r="E218" s="27">
        <v>17</v>
      </c>
      <c r="F218" s="27">
        <v>22</v>
      </c>
      <c r="G218" s="27">
        <v>16</v>
      </c>
      <c r="H218" s="27">
        <v>22</v>
      </c>
      <c r="I218" s="27">
        <v>22</v>
      </c>
      <c r="J218" s="27">
        <v>19</v>
      </c>
      <c r="K218" s="27">
        <v>3</v>
      </c>
      <c r="L218" s="28">
        <v>0.76315789473684215</v>
      </c>
      <c r="M218" s="28">
        <v>0.1233387083705994</v>
      </c>
      <c r="N218" s="28">
        <v>0.16161623855457849</v>
      </c>
      <c r="O218" s="28">
        <v>0.89473684210526316</v>
      </c>
      <c r="P218" s="28">
        <v>0.1412742382271468</v>
      </c>
      <c r="Q218" s="28">
        <v>0.15789473684210531</v>
      </c>
      <c r="R218" s="28">
        <v>1.1578947368421051</v>
      </c>
      <c r="S218" s="28">
        <v>0.18282548476454291</v>
      </c>
      <c r="T218" s="28">
        <v>0.15789473684210531</v>
      </c>
      <c r="U218" s="28">
        <v>0.47740571223878903</v>
      </c>
      <c r="V218" s="27" t="s">
        <v>498</v>
      </c>
    </row>
    <row r="219" spans="1:22" x14ac:dyDescent="0.25">
      <c r="A219" s="27" t="s">
        <v>436</v>
      </c>
      <c r="B219" s="27">
        <v>1322</v>
      </c>
      <c r="C219" s="27">
        <v>713</v>
      </c>
      <c r="D219" s="27">
        <v>1118</v>
      </c>
      <c r="E219" s="27">
        <v>1075</v>
      </c>
      <c r="F219" s="27">
        <v>1281</v>
      </c>
      <c r="G219" s="27">
        <v>1292</v>
      </c>
      <c r="H219" s="27">
        <v>1301</v>
      </c>
      <c r="I219" s="27">
        <v>2103</v>
      </c>
      <c r="J219" s="27">
        <v>1286.5</v>
      </c>
      <c r="K219" s="27">
        <v>5.5</v>
      </c>
      <c r="L219" s="28">
        <v>0.79090555771472992</v>
      </c>
      <c r="M219" s="28">
        <v>0.23671284070414081</v>
      </c>
      <c r="N219" s="28">
        <v>0.29929343446277851</v>
      </c>
      <c r="O219" s="28">
        <v>0.85231247570928881</v>
      </c>
      <c r="P219" s="28">
        <v>1.7104629893503542E-2</v>
      </c>
      <c r="Q219" s="28">
        <v>2.0068496450517379E-2</v>
      </c>
      <c r="R219" s="28">
        <v>1.3229692965410029</v>
      </c>
      <c r="S219" s="28">
        <v>0.31174971688278902</v>
      </c>
      <c r="T219" s="28">
        <v>0.23564395462380031</v>
      </c>
      <c r="U219" s="28">
        <v>0.55500588553709607</v>
      </c>
      <c r="V219" s="27" t="s">
        <v>499</v>
      </c>
    </row>
    <row r="220" spans="1:22" x14ac:dyDescent="0.25">
      <c r="A220" s="27" t="s">
        <v>438</v>
      </c>
      <c r="B220" s="27">
        <v>521</v>
      </c>
      <c r="C220" s="27">
        <v>288</v>
      </c>
      <c r="D220" s="27">
        <v>414</v>
      </c>
      <c r="E220" s="27">
        <v>444</v>
      </c>
      <c r="F220" s="27">
        <v>449</v>
      </c>
      <c r="G220" s="27">
        <v>438</v>
      </c>
      <c r="H220" s="27">
        <v>692</v>
      </c>
      <c r="I220" s="27">
        <v>736</v>
      </c>
      <c r="J220" s="27">
        <v>443.5</v>
      </c>
      <c r="K220" s="27">
        <v>5.5</v>
      </c>
      <c r="L220" s="28">
        <v>0.91206313416009022</v>
      </c>
      <c r="M220" s="28">
        <v>0.2629266039904245</v>
      </c>
      <c r="N220" s="28">
        <v>0.28827675863968671</v>
      </c>
      <c r="O220" s="28">
        <v>0.96730552423900784</v>
      </c>
      <c r="P220" s="28">
        <v>3.5886216552959552E-2</v>
      </c>
      <c r="Q220" s="28">
        <v>3.7099153942278702E-2</v>
      </c>
      <c r="R220" s="28">
        <v>1.6099210822998871</v>
      </c>
      <c r="S220" s="28">
        <v>5.3472479265490057E-2</v>
      </c>
      <c r="T220" s="28">
        <v>3.3214348115188849E-2</v>
      </c>
      <c r="U220" s="28">
        <v>0.35859026069715422</v>
      </c>
      <c r="V220" s="27" t="s">
        <v>501</v>
      </c>
    </row>
    <row r="221" spans="1:22" x14ac:dyDescent="0.25">
      <c r="A221" s="27" t="s">
        <v>440</v>
      </c>
      <c r="B221" s="27">
        <v>3</v>
      </c>
      <c r="C221" s="27">
        <v>2</v>
      </c>
      <c r="D221" s="27">
        <v>5</v>
      </c>
      <c r="E221" s="27">
        <v>6</v>
      </c>
      <c r="F221" s="27">
        <v>4</v>
      </c>
      <c r="G221" s="27">
        <v>5</v>
      </c>
      <c r="H221" s="27">
        <v>10</v>
      </c>
      <c r="I221" s="27">
        <v>7</v>
      </c>
      <c r="J221" s="27">
        <v>4.5</v>
      </c>
      <c r="K221" s="27">
        <v>0.5</v>
      </c>
      <c r="L221" s="28">
        <v>0.55555555555555558</v>
      </c>
      <c r="M221" s="28">
        <v>0.12710654495045681</v>
      </c>
      <c r="N221" s="28">
        <v>0.22879178091082231</v>
      </c>
      <c r="O221" s="28">
        <v>1.2222222222222221</v>
      </c>
      <c r="P221" s="28">
        <v>0.1754650667105172</v>
      </c>
      <c r="Q221" s="28">
        <v>0.14356232730860499</v>
      </c>
      <c r="R221" s="28">
        <v>1.8888888888888891</v>
      </c>
      <c r="S221" s="28">
        <v>0.3939026205813288</v>
      </c>
      <c r="T221" s="28">
        <v>0.20853668148423291</v>
      </c>
      <c r="U221" s="28">
        <v>0.58089078970366015</v>
      </c>
      <c r="V221" s="27" t="s">
        <v>499</v>
      </c>
    </row>
    <row r="222" spans="1:22" x14ac:dyDescent="0.25">
      <c r="A222" s="27" t="s">
        <v>442</v>
      </c>
      <c r="B222" s="27">
        <v>42</v>
      </c>
      <c r="C222" s="27">
        <v>24</v>
      </c>
      <c r="D222" s="27">
        <v>37</v>
      </c>
      <c r="E222" s="27">
        <v>36</v>
      </c>
      <c r="F222" s="27">
        <v>46</v>
      </c>
      <c r="G222" s="27">
        <v>30</v>
      </c>
      <c r="H222" s="27">
        <v>34</v>
      </c>
      <c r="I222" s="27">
        <v>64</v>
      </c>
      <c r="J222" s="27">
        <v>38</v>
      </c>
      <c r="K222" s="27">
        <v>8</v>
      </c>
      <c r="L222" s="28">
        <v>0.86842105263157898</v>
      </c>
      <c r="M222" s="28">
        <v>0.29919782871016098</v>
      </c>
      <c r="N222" s="28">
        <v>0.34453083306018539</v>
      </c>
      <c r="O222" s="28">
        <v>0.96052631578947367</v>
      </c>
      <c r="P222" s="28">
        <v>0.20264369651522901</v>
      </c>
      <c r="Q222" s="28">
        <v>0.21097151965969041</v>
      </c>
      <c r="R222" s="28">
        <v>1.2894736842105261</v>
      </c>
      <c r="S222" s="28">
        <v>0.47907424032826462</v>
      </c>
      <c r="T222" s="28">
        <v>0.37152696188722562</v>
      </c>
      <c r="U222" s="28">
        <v>0.92702931460710158</v>
      </c>
      <c r="V222" s="27" t="s">
        <v>500</v>
      </c>
    </row>
    <row r="223" spans="1:22" x14ac:dyDescent="0.25">
      <c r="A223" s="27" t="s">
        <v>444</v>
      </c>
      <c r="B223" s="27">
        <v>511</v>
      </c>
      <c r="C223" s="27">
        <v>310</v>
      </c>
      <c r="D223" s="27">
        <v>570</v>
      </c>
      <c r="E223" s="27">
        <v>482</v>
      </c>
      <c r="F223" s="27">
        <v>490</v>
      </c>
      <c r="G223" s="27">
        <v>626</v>
      </c>
      <c r="H223" s="27">
        <v>907</v>
      </c>
      <c r="I223" s="27">
        <v>810</v>
      </c>
      <c r="J223" s="27">
        <v>558</v>
      </c>
      <c r="K223" s="27">
        <v>68</v>
      </c>
      <c r="L223" s="28">
        <v>0.73566308243727596</v>
      </c>
      <c r="M223" s="28">
        <v>0.2011864034433086</v>
      </c>
      <c r="N223" s="28">
        <v>0.27347628044181782</v>
      </c>
      <c r="O223" s="28">
        <v>0.94265232974910396</v>
      </c>
      <c r="P223" s="28">
        <v>0.13933453708334609</v>
      </c>
      <c r="Q223" s="28">
        <v>0.1478111629135116</v>
      </c>
      <c r="R223" s="28">
        <v>1.5385304659498209</v>
      </c>
      <c r="S223" s="28">
        <v>0.20665817367808489</v>
      </c>
      <c r="T223" s="28">
        <v>0.1343217948891921</v>
      </c>
      <c r="U223" s="28">
        <v>0.55560923824452146</v>
      </c>
      <c r="V223" s="27" t="s">
        <v>499</v>
      </c>
    </row>
    <row r="224" spans="1:22" x14ac:dyDescent="0.25">
      <c r="A224" s="27" t="s">
        <v>446</v>
      </c>
      <c r="B224" s="27">
        <v>6</v>
      </c>
      <c r="C224" s="27">
        <v>7</v>
      </c>
      <c r="D224" s="27">
        <v>10</v>
      </c>
      <c r="E224" s="27">
        <v>12</v>
      </c>
      <c r="F224" s="27">
        <v>11</v>
      </c>
      <c r="G224" s="27">
        <v>9</v>
      </c>
      <c r="H224" s="27">
        <v>9</v>
      </c>
      <c r="I224" s="27">
        <v>11</v>
      </c>
      <c r="J224" s="27">
        <v>10</v>
      </c>
      <c r="K224" s="27">
        <v>1</v>
      </c>
      <c r="L224" s="28">
        <v>0.65</v>
      </c>
      <c r="M224" s="28">
        <v>8.2006097334283642E-2</v>
      </c>
      <c r="N224" s="28">
        <v>0.12616322666812871</v>
      </c>
      <c r="O224" s="28">
        <v>1.1000000000000001</v>
      </c>
      <c r="P224" s="28">
        <v>0.14866068747318509</v>
      </c>
      <c r="Q224" s="28">
        <v>0.13514607952107729</v>
      </c>
      <c r="R224" s="28">
        <v>1</v>
      </c>
      <c r="S224" s="28">
        <v>0.1414213562373095</v>
      </c>
      <c r="T224" s="28">
        <v>0.1414213562373095</v>
      </c>
      <c r="U224" s="28">
        <v>0.40273066242651562</v>
      </c>
      <c r="V224" s="27" t="s">
        <v>501</v>
      </c>
    </row>
    <row r="225" spans="1:22" x14ac:dyDescent="0.25">
      <c r="A225" s="27" t="s">
        <v>448</v>
      </c>
      <c r="B225" s="27">
        <v>9</v>
      </c>
      <c r="C225" s="27">
        <v>5</v>
      </c>
      <c r="D225" s="27">
        <v>17</v>
      </c>
      <c r="E225" s="27">
        <v>12</v>
      </c>
      <c r="F225" s="27">
        <v>11</v>
      </c>
      <c r="G225" s="27">
        <v>11</v>
      </c>
      <c r="H225" s="27">
        <v>13</v>
      </c>
      <c r="I225" s="27">
        <v>12</v>
      </c>
      <c r="J225" s="27">
        <v>11</v>
      </c>
      <c r="K225" s="27">
        <v>0</v>
      </c>
      <c r="L225" s="28">
        <v>0.63636363636363635</v>
      </c>
      <c r="M225" s="28">
        <v>0.1818181818181818</v>
      </c>
      <c r="N225" s="28">
        <v>0.2857142857142857</v>
      </c>
      <c r="O225" s="28">
        <v>1.3181818181818179</v>
      </c>
      <c r="P225" s="28">
        <v>0.22727272727272729</v>
      </c>
      <c r="Q225" s="28">
        <v>0.17241379310344829</v>
      </c>
      <c r="R225" s="28">
        <v>1.136363636363636</v>
      </c>
      <c r="S225" s="28">
        <v>4.5454545454545463E-2</v>
      </c>
      <c r="T225" s="28">
        <v>0.04</v>
      </c>
      <c r="U225" s="28">
        <v>0.49812807881773402</v>
      </c>
      <c r="V225" s="27" t="s">
        <v>498</v>
      </c>
    </row>
    <row r="226" spans="1:22" x14ac:dyDescent="0.25">
      <c r="A226" s="27" t="s">
        <v>450</v>
      </c>
      <c r="B226" s="27">
        <v>533</v>
      </c>
      <c r="C226" s="27">
        <v>334</v>
      </c>
      <c r="D226" s="27">
        <v>625</v>
      </c>
      <c r="E226" s="27">
        <v>453</v>
      </c>
      <c r="F226" s="27">
        <v>487</v>
      </c>
      <c r="G226" s="27">
        <v>564</v>
      </c>
      <c r="H226" s="27">
        <v>1012</v>
      </c>
      <c r="I226" s="27">
        <v>848</v>
      </c>
      <c r="J226" s="27">
        <v>525.5</v>
      </c>
      <c r="K226" s="27">
        <v>38.5</v>
      </c>
      <c r="L226" s="28">
        <v>0.8249286393910561</v>
      </c>
      <c r="M226" s="28">
        <v>0.19875515186835799</v>
      </c>
      <c r="N226" s="28">
        <v>0.24093617602496459</v>
      </c>
      <c r="O226" s="28">
        <v>1.025689819219791</v>
      </c>
      <c r="P226" s="28">
        <v>0.18008163595823859</v>
      </c>
      <c r="Q226" s="28">
        <v>0.17557124247876499</v>
      </c>
      <c r="R226" s="28">
        <v>1.769743101807802</v>
      </c>
      <c r="S226" s="28">
        <v>0.20287971037192559</v>
      </c>
      <c r="T226" s="28">
        <v>0.11463794387144829</v>
      </c>
      <c r="U226" s="28">
        <v>0.53114536237517784</v>
      </c>
      <c r="V226" s="27" t="s">
        <v>498</v>
      </c>
    </row>
    <row r="227" spans="1:22" x14ac:dyDescent="0.25">
      <c r="A227" s="27" t="s">
        <v>452</v>
      </c>
      <c r="B227" s="27">
        <v>829</v>
      </c>
      <c r="C227" s="27">
        <v>698</v>
      </c>
      <c r="D227" s="27">
        <v>986</v>
      </c>
      <c r="E227" s="27">
        <v>801</v>
      </c>
      <c r="F227" s="27">
        <v>742</v>
      </c>
      <c r="G227" s="27">
        <v>1060</v>
      </c>
      <c r="H227" s="27">
        <v>1297</v>
      </c>
      <c r="I227" s="27">
        <v>1130</v>
      </c>
      <c r="J227" s="27">
        <v>901</v>
      </c>
      <c r="K227" s="27">
        <v>159</v>
      </c>
      <c r="L227" s="28">
        <v>0.84739178690344064</v>
      </c>
      <c r="M227" s="28">
        <v>0.16627382317861361</v>
      </c>
      <c r="N227" s="28">
        <v>0.1962183558401189</v>
      </c>
      <c r="O227" s="28">
        <v>0.99167591564927859</v>
      </c>
      <c r="P227" s="28">
        <v>0.2028926021242306</v>
      </c>
      <c r="Q227" s="28">
        <v>0.2045956737704889</v>
      </c>
      <c r="R227" s="28">
        <v>1.3468368479467261</v>
      </c>
      <c r="S227" s="28">
        <v>0.25510589785935478</v>
      </c>
      <c r="T227" s="28">
        <v>0.18941113635869691</v>
      </c>
      <c r="U227" s="28">
        <v>0.59022516596930474</v>
      </c>
      <c r="V227" s="27" t="s">
        <v>499</v>
      </c>
    </row>
    <row r="228" spans="1:22" x14ac:dyDescent="0.25">
      <c r="A228" s="27" t="s">
        <v>454</v>
      </c>
      <c r="B228" s="27">
        <v>2275</v>
      </c>
      <c r="C228" s="27">
        <v>1454</v>
      </c>
      <c r="D228" s="27">
        <v>1846</v>
      </c>
      <c r="E228" s="27">
        <v>1856</v>
      </c>
      <c r="F228" s="27">
        <v>1862</v>
      </c>
      <c r="G228" s="27">
        <v>1989</v>
      </c>
      <c r="H228" s="27">
        <v>2387</v>
      </c>
      <c r="I228" s="27">
        <v>3257</v>
      </c>
      <c r="J228" s="27">
        <v>1925.5</v>
      </c>
      <c r="K228" s="27">
        <v>63.5</v>
      </c>
      <c r="L228" s="28">
        <v>0.9683199169047001</v>
      </c>
      <c r="M228" s="28">
        <v>0.21556976689739349</v>
      </c>
      <c r="N228" s="28">
        <v>0.22262246509033581</v>
      </c>
      <c r="O228" s="28">
        <v>0.961308750973773</v>
      </c>
      <c r="P228" s="28">
        <v>3.1808640197674452E-2</v>
      </c>
      <c r="Q228" s="28">
        <v>3.3088890708061668E-2</v>
      </c>
      <c r="R228" s="28">
        <v>1.4655933523760061</v>
      </c>
      <c r="S228" s="28">
        <v>0.2310277517160722</v>
      </c>
      <c r="T228" s="28">
        <v>0.15763427920953119</v>
      </c>
      <c r="U228" s="28">
        <v>0.41334563500792859</v>
      </c>
      <c r="V228" s="27" t="s">
        <v>501</v>
      </c>
    </row>
    <row r="229" spans="1:22" x14ac:dyDescent="0.25">
      <c r="A229" s="27" t="s">
        <v>456</v>
      </c>
      <c r="B229" s="27">
        <v>133</v>
      </c>
      <c r="C229" s="27">
        <v>106</v>
      </c>
      <c r="D229" s="27">
        <v>141</v>
      </c>
      <c r="E229" s="27">
        <v>116</v>
      </c>
      <c r="F229" s="27">
        <v>130</v>
      </c>
      <c r="G229" s="27">
        <v>174</v>
      </c>
      <c r="H229" s="27">
        <v>220</v>
      </c>
      <c r="I229" s="27">
        <v>223</v>
      </c>
      <c r="J229" s="27">
        <v>152</v>
      </c>
      <c r="K229" s="27">
        <v>22</v>
      </c>
      <c r="L229" s="28">
        <v>0.78618421052631582</v>
      </c>
      <c r="M229" s="28">
        <v>0.14434807786339901</v>
      </c>
      <c r="N229" s="28">
        <v>0.18360592330741971</v>
      </c>
      <c r="O229" s="28">
        <v>0.84539473684210531</v>
      </c>
      <c r="P229" s="28">
        <v>0.1474273047249009</v>
      </c>
      <c r="Q229" s="28">
        <v>0.1743887184294548</v>
      </c>
      <c r="R229" s="28">
        <v>1.4572368421052631</v>
      </c>
      <c r="S229" s="28">
        <v>0.21114659645871051</v>
      </c>
      <c r="T229" s="28">
        <v>0.1448951813170383</v>
      </c>
      <c r="U229" s="28">
        <v>0.50288982305391272</v>
      </c>
      <c r="V229" s="27" t="s">
        <v>498</v>
      </c>
    </row>
    <row r="230" spans="1:22" x14ac:dyDescent="0.25">
      <c r="A230" s="27" t="s">
        <v>458</v>
      </c>
      <c r="B230" s="27">
        <v>15082</v>
      </c>
      <c r="C230" s="27">
        <v>10058</v>
      </c>
      <c r="D230" s="27">
        <v>13060</v>
      </c>
      <c r="E230" s="27">
        <v>12865</v>
      </c>
      <c r="F230" s="27">
        <v>13970</v>
      </c>
      <c r="G230" s="27">
        <v>14166</v>
      </c>
      <c r="H230" s="27">
        <v>15821</v>
      </c>
      <c r="I230" s="27">
        <v>20548</v>
      </c>
      <c r="J230" s="27">
        <v>14068</v>
      </c>
      <c r="K230" s="27">
        <v>98</v>
      </c>
      <c r="L230" s="28">
        <v>0.89351720216093267</v>
      </c>
      <c r="M230" s="28">
        <v>0.17866972745156681</v>
      </c>
      <c r="N230" s="28">
        <v>0.1999622693547049</v>
      </c>
      <c r="O230" s="28">
        <v>0.92141740119419957</v>
      </c>
      <c r="P230" s="28">
        <v>9.446365377374125E-3</v>
      </c>
      <c r="Q230" s="28">
        <v>1.0251993684003801E-2</v>
      </c>
      <c r="R230" s="28">
        <v>1.292614444128519</v>
      </c>
      <c r="S230" s="28">
        <v>0.16824653754877841</v>
      </c>
      <c r="T230" s="28">
        <v>0.13015987738107809</v>
      </c>
      <c r="U230" s="28">
        <v>0.34037414041978681</v>
      </c>
      <c r="V230" s="27" t="s">
        <v>501</v>
      </c>
    </row>
    <row r="231" spans="1:22" x14ac:dyDescent="0.25">
      <c r="A231" s="27" t="s">
        <v>460</v>
      </c>
      <c r="B231" s="27">
        <v>8000</v>
      </c>
      <c r="C231" s="27">
        <v>5302</v>
      </c>
      <c r="D231" s="27">
        <v>7655</v>
      </c>
      <c r="E231" s="27">
        <v>7425</v>
      </c>
      <c r="F231" s="27">
        <v>7362</v>
      </c>
      <c r="G231" s="27">
        <v>8496</v>
      </c>
      <c r="H231" s="27">
        <v>10846</v>
      </c>
      <c r="I231" s="27">
        <v>11475</v>
      </c>
      <c r="J231" s="27">
        <v>7929</v>
      </c>
      <c r="K231" s="27">
        <v>567</v>
      </c>
      <c r="L231" s="28">
        <v>0.83881952326901243</v>
      </c>
      <c r="M231" s="28">
        <v>0.18039939954340981</v>
      </c>
      <c r="N231" s="28">
        <v>0.21506342489545879</v>
      </c>
      <c r="O231" s="28">
        <v>0.95093958885105312</v>
      </c>
      <c r="P231" s="28">
        <v>6.9530872593674367E-2</v>
      </c>
      <c r="Q231" s="28">
        <v>7.3118075437035024E-2</v>
      </c>
      <c r="R231" s="28">
        <v>1.407554546601085</v>
      </c>
      <c r="S231" s="28">
        <v>0.10818709622194719</v>
      </c>
      <c r="T231" s="28">
        <v>7.6861743286037315E-2</v>
      </c>
      <c r="U231" s="28">
        <v>0.36504324361853108</v>
      </c>
      <c r="V231" s="27" t="s">
        <v>501</v>
      </c>
    </row>
    <row r="232" spans="1:22" x14ac:dyDescent="0.25">
      <c r="A232" s="27" t="s">
        <v>462</v>
      </c>
      <c r="B232" s="27">
        <v>161</v>
      </c>
      <c r="C232" s="27">
        <v>119</v>
      </c>
      <c r="D232" s="27">
        <v>138</v>
      </c>
      <c r="E232" s="27">
        <v>131</v>
      </c>
      <c r="F232" s="27">
        <v>134</v>
      </c>
      <c r="G232" s="27">
        <v>137</v>
      </c>
      <c r="H232" s="27">
        <v>174</v>
      </c>
      <c r="I232" s="27">
        <v>157</v>
      </c>
      <c r="J232" s="27">
        <v>135.5</v>
      </c>
      <c r="K232" s="27">
        <v>1.5</v>
      </c>
      <c r="L232" s="28">
        <v>1.033210332103321</v>
      </c>
      <c r="M232" s="28">
        <v>0.1554030339834887</v>
      </c>
      <c r="N232" s="28">
        <v>0.15040793646259079</v>
      </c>
      <c r="O232" s="28">
        <v>0.99261992619926198</v>
      </c>
      <c r="P232" s="28">
        <v>2.80704017165125E-2</v>
      </c>
      <c r="Q232" s="28">
        <v>2.827910358801073E-2</v>
      </c>
      <c r="R232" s="28">
        <v>1.2214022140221401</v>
      </c>
      <c r="S232" s="28">
        <v>6.4171259954131796E-2</v>
      </c>
      <c r="T232" s="28">
        <v>5.2539007394470441E-2</v>
      </c>
      <c r="U232" s="28">
        <v>0.231226047445072</v>
      </c>
      <c r="V232" s="27" t="s">
        <v>502</v>
      </c>
    </row>
    <row r="233" spans="1:22" x14ac:dyDescent="0.25">
      <c r="A233" s="27" t="s">
        <v>464</v>
      </c>
      <c r="B233" s="27">
        <v>14</v>
      </c>
      <c r="C233" s="27">
        <v>9</v>
      </c>
      <c r="D233" s="27">
        <v>20</v>
      </c>
      <c r="E233" s="27">
        <v>11</v>
      </c>
      <c r="F233" s="27">
        <v>12</v>
      </c>
      <c r="G233" s="27">
        <v>11</v>
      </c>
      <c r="H233" s="27">
        <v>13</v>
      </c>
      <c r="I233" s="27">
        <v>15</v>
      </c>
      <c r="J233" s="27">
        <v>11.5</v>
      </c>
      <c r="K233" s="27">
        <v>0.5</v>
      </c>
      <c r="L233" s="28">
        <v>1</v>
      </c>
      <c r="M233" s="28">
        <v>0.22169650059099061</v>
      </c>
      <c r="N233" s="28">
        <v>0.22169650059099061</v>
      </c>
      <c r="O233" s="28">
        <v>1.347826086956522</v>
      </c>
      <c r="P233" s="28">
        <v>0.3956680244332898</v>
      </c>
      <c r="Q233" s="28">
        <v>0.29356014716018269</v>
      </c>
      <c r="R233" s="28">
        <v>1.2173913043478259</v>
      </c>
      <c r="S233" s="28">
        <v>0.1017989566566069</v>
      </c>
      <c r="T233" s="28">
        <v>8.3620571539355648E-2</v>
      </c>
      <c r="U233" s="28">
        <v>0.59887721929052906</v>
      </c>
      <c r="V233" s="27" t="s">
        <v>499</v>
      </c>
    </row>
    <row r="234" spans="1:22" x14ac:dyDescent="0.25">
      <c r="A234" s="27" t="s">
        <v>466</v>
      </c>
      <c r="B234" s="27">
        <v>3</v>
      </c>
      <c r="C234" s="27">
        <v>5</v>
      </c>
      <c r="D234" s="27">
        <v>6</v>
      </c>
      <c r="E234" s="27">
        <v>3</v>
      </c>
      <c r="F234" s="27">
        <v>3</v>
      </c>
      <c r="G234" s="27">
        <v>7</v>
      </c>
      <c r="H234" s="27">
        <v>15</v>
      </c>
      <c r="I234" s="27">
        <v>6</v>
      </c>
      <c r="J234" s="27">
        <v>5</v>
      </c>
      <c r="K234" s="27">
        <v>2</v>
      </c>
      <c r="L234" s="28">
        <v>0.8</v>
      </c>
      <c r="M234" s="28">
        <v>0.37735924528226422</v>
      </c>
      <c r="N234" s="28">
        <v>0.47169905660283018</v>
      </c>
      <c r="O234" s="28">
        <v>0.9</v>
      </c>
      <c r="P234" s="28">
        <v>0.46861498055439932</v>
      </c>
      <c r="Q234" s="28">
        <v>0.52068331172711035</v>
      </c>
      <c r="R234" s="28">
        <v>2.1</v>
      </c>
      <c r="S234" s="28">
        <v>1.231097071720991</v>
      </c>
      <c r="T234" s="28">
        <v>0.58623670081951973</v>
      </c>
      <c r="U234" s="28">
        <v>1.5786190691494599</v>
      </c>
      <c r="V234" s="27" t="s">
        <v>500</v>
      </c>
    </row>
    <row r="235" spans="1:22" x14ac:dyDescent="0.25">
      <c r="A235" s="27" t="s">
        <v>468</v>
      </c>
      <c r="B235" s="27">
        <v>15</v>
      </c>
      <c r="C235" s="27">
        <v>12</v>
      </c>
      <c r="D235" s="27">
        <v>16</v>
      </c>
      <c r="E235" s="27">
        <v>15</v>
      </c>
      <c r="F235" s="27">
        <v>11</v>
      </c>
      <c r="G235" s="27">
        <v>18</v>
      </c>
      <c r="H235" s="27">
        <v>22</v>
      </c>
      <c r="I235" s="27">
        <v>8</v>
      </c>
      <c r="J235" s="27">
        <v>14.5</v>
      </c>
      <c r="K235" s="27">
        <v>3.5</v>
      </c>
      <c r="L235" s="28">
        <v>0.93103448275862066</v>
      </c>
      <c r="M235" s="28">
        <v>0.24739891868346781</v>
      </c>
      <c r="N235" s="28">
        <v>0.26572476451187282</v>
      </c>
      <c r="O235" s="28">
        <v>1.068965517241379</v>
      </c>
      <c r="P235" s="28">
        <v>0.26032010975491798</v>
      </c>
      <c r="Q235" s="28">
        <v>0.24352526396427809</v>
      </c>
      <c r="R235" s="28">
        <v>1.0344827586206899</v>
      </c>
      <c r="S235" s="28">
        <v>0.54351388357289687</v>
      </c>
      <c r="T235" s="28">
        <v>0.52539675412046694</v>
      </c>
      <c r="U235" s="28">
        <v>1.0346467825966179</v>
      </c>
      <c r="V235" s="27" t="s">
        <v>500</v>
      </c>
    </row>
    <row r="236" spans="1:22" x14ac:dyDescent="0.25">
      <c r="A236" s="27" t="s">
        <v>470</v>
      </c>
      <c r="B236" s="27">
        <v>19</v>
      </c>
      <c r="C236" s="27">
        <v>10</v>
      </c>
      <c r="D236" s="27">
        <v>13</v>
      </c>
      <c r="E236" s="27">
        <v>8</v>
      </c>
      <c r="F236" s="27">
        <v>14</v>
      </c>
      <c r="G236" s="27">
        <v>18</v>
      </c>
      <c r="H236" s="27">
        <v>14</v>
      </c>
      <c r="I236" s="27">
        <v>23</v>
      </c>
      <c r="J236" s="27">
        <v>16</v>
      </c>
      <c r="K236" s="27">
        <v>2</v>
      </c>
      <c r="L236" s="28">
        <v>0.90625</v>
      </c>
      <c r="M236" s="28">
        <v>0.3032065370363286</v>
      </c>
      <c r="N236" s="28">
        <v>0.33457273052284542</v>
      </c>
      <c r="O236" s="28">
        <v>0.65625</v>
      </c>
      <c r="P236" s="28">
        <v>0.17647432809494559</v>
      </c>
      <c r="Q236" s="28">
        <v>0.26891326185896469</v>
      </c>
      <c r="R236" s="28">
        <v>1.15625</v>
      </c>
      <c r="S236" s="28">
        <v>0.31621328992716691</v>
      </c>
      <c r="T236" s="28">
        <v>0.27348176426133353</v>
      </c>
      <c r="U236" s="28">
        <v>0.87696775664314364</v>
      </c>
      <c r="V236" s="27" t="s">
        <v>500</v>
      </c>
    </row>
    <row r="237" spans="1:22" x14ac:dyDescent="0.25">
      <c r="A237" s="27" t="s">
        <v>472</v>
      </c>
      <c r="B237" s="27">
        <v>54</v>
      </c>
      <c r="C237" s="27">
        <v>32</v>
      </c>
      <c r="D237" s="27">
        <v>56</v>
      </c>
      <c r="E237" s="27">
        <v>44</v>
      </c>
      <c r="F237" s="27">
        <v>62</v>
      </c>
      <c r="G237" s="27">
        <v>47</v>
      </c>
      <c r="H237" s="27">
        <v>63</v>
      </c>
      <c r="I237" s="27">
        <v>62</v>
      </c>
      <c r="J237" s="27">
        <v>54.5</v>
      </c>
      <c r="K237" s="27">
        <v>7.5</v>
      </c>
      <c r="L237" s="28">
        <v>0.78899082568807344</v>
      </c>
      <c r="M237" s="28">
        <v>0.2291859847622395</v>
      </c>
      <c r="N237" s="28">
        <v>0.29047991091958258</v>
      </c>
      <c r="O237" s="28">
        <v>0.91743119266055051</v>
      </c>
      <c r="P237" s="28">
        <v>0.16751047475308939</v>
      </c>
      <c r="Q237" s="28">
        <v>0.1825864174808674</v>
      </c>
      <c r="R237" s="28">
        <v>1.1467889908256881</v>
      </c>
      <c r="S237" s="28">
        <v>0.15808144048507869</v>
      </c>
      <c r="T237" s="28">
        <v>0.13784701610298861</v>
      </c>
      <c r="U237" s="28">
        <v>0.6109133445034387</v>
      </c>
      <c r="V237" s="27" t="s">
        <v>499</v>
      </c>
    </row>
    <row r="238" spans="1:22" x14ac:dyDescent="0.25">
      <c r="A238" s="27" t="s">
        <v>474</v>
      </c>
      <c r="B238" s="27">
        <v>316</v>
      </c>
      <c r="C238" s="27">
        <v>237</v>
      </c>
      <c r="D238" s="27">
        <v>335</v>
      </c>
      <c r="E238" s="27">
        <v>300</v>
      </c>
      <c r="F238" s="27">
        <v>331</v>
      </c>
      <c r="G238" s="27">
        <v>339</v>
      </c>
      <c r="H238" s="27">
        <v>517</v>
      </c>
      <c r="I238" s="27">
        <v>387</v>
      </c>
      <c r="J238" s="27">
        <v>335</v>
      </c>
      <c r="K238" s="27">
        <v>4</v>
      </c>
      <c r="L238" s="28">
        <v>0.82537313432835824</v>
      </c>
      <c r="M238" s="28">
        <v>0.1183215901258058</v>
      </c>
      <c r="N238" s="28">
        <v>0.14335527194265801</v>
      </c>
      <c r="O238" s="28">
        <v>0.94776119402985071</v>
      </c>
      <c r="P238" s="28">
        <v>5.3450511584406897E-2</v>
      </c>
      <c r="Q238" s="28">
        <v>5.6396602774098623E-2</v>
      </c>
      <c r="R238" s="28">
        <v>1.349253731343284</v>
      </c>
      <c r="S238" s="28">
        <v>0.19469753707542459</v>
      </c>
      <c r="T238" s="28">
        <v>0.14430016575280369</v>
      </c>
      <c r="U238" s="28">
        <v>0.34405204046956028</v>
      </c>
      <c r="V238" s="27" t="s">
        <v>501</v>
      </c>
    </row>
    <row r="239" spans="1:22" x14ac:dyDescent="0.25">
      <c r="A239" s="27" t="s">
        <v>476</v>
      </c>
      <c r="B239" s="27">
        <v>4024</v>
      </c>
      <c r="C239" s="27">
        <v>3452</v>
      </c>
      <c r="D239" s="27">
        <v>4478</v>
      </c>
      <c r="E239" s="27">
        <v>3629</v>
      </c>
      <c r="F239" s="27">
        <v>3597</v>
      </c>
      <c r="G239" s="27">
        <v>4722</v>
      </c>
      <c r="H239" s="27">
        <v>7248</v>
      </c>
      <c r="I239" s="27">
        <v>5920</v>
      </c>
      <c r="J239" s="27">
        <v>4159.5</v>
      </c>
      <c r="K239" s="27">
        <v>562.5</v>
      </c>
      <c r="L239" s="28">
        <v>0.89866570501262166</v>
      </c>
      <c r="M239" s="28">
        <v>0.13963155948753869</v>
      </c>
      <c r="N239" s="28">
        <v>0.15537653068175961</v>
      </c>
      <c r="O239" s="28">
        <v>0.97451616780863082</v>
      </c>
      <c r="P239" s="28">
        <v>0.16668225983429291</v>
      </c>
      <c r="Q239" s="28">
        <v>0.17104104102152251</v>
      </c>
      <c r="R239" s="28">
        <v>1.5828825579997601</v>
      </c>
      <c r="S239" s="28">
        <v>0.26702759095829381</v>
      </c>
      <c r="T239" s="28">
        <v>0.1686970328965709</v>
      </c>
      <c r="U239" s="28">
        <v>0.49511460459985301</v>
      </c>
      <c r="V239" s="27" t="s">
        <v>498</v>
      </c>
    </row>
    <row r="240" spans="1:22" x14ac:dyDescent="0.25">
      <c r="A240" s="27" t="s">
        <v>478</v>
      </c>
      <c r="B240" s="27">
        <v>644</v>
      </c>
      <c r="C240" s="27">
        <v>420</v>
      </c>
      <c r="D240" s="27">
        <v>732</v>
      </c>
      <c r="E240" s="27">
        <v>596</v>
      </c>
      <c r="F240" s="27">
        <v>528</v>
      </c>
      <c r="G240" s="27">
        <v>710</v>
      </c>
      <c r="H240" s="27">
        <v>1090</v>
      </c>
      <c r="I240" s="27">
        <v>911</v>
      </c>
      <c r="J240" s="27">
        <v>619</v>
      </c>
      <c r="K240" s="27">
        <v>91</v>
      </c>
      <c r="L240" s="28">
        <v>0.85945072697899838</v>
      </c>
      <c r="M240" s="28">
        <v>0.22068588526669189</v>
      </c>
      <c r="N240" s="28">
        <v>0.25677549432346292</v>
      </c>
      <c r="O240" s="28">
        <v>1.0726978998384491</v>
      </c>
      <c r="P240" s="28">
        <v>0.19218980453650711</v>
      </c>
      <c r="Q240" s="28">
        <v>0.1791648930844848</v>
      </c>
      <c r="R240" s="28">
        <v>1.616316639741519</v>
      </c>
      <c r="S240" s="28">
        <v>0.27815006380677743</v>
      </c>
      <c r="T240" s="28">
        <v>0.1720888450738583</v>
      </c>
      <c r="U240" s="28">
        <v>0.60802923248180596</v>
      </c>
      <c r="V240" s="27" t="s">
        <v>499</v>
      </c>
    </row>
    <row r="241" spans="1:22" x14ac:dyDescent="0.25">
      <c r="A241" s="27" t="s">
        <v>480</v>
      </c>
      <c r="B241" s="27">
        <v>1025</v>
      </c>
      <c r="C241" s="27">
        <v>618</v>
      </c>
      <c r="D241" s="27">
        <v>1091</v>
      </c>
      <c r="E241" s="27">
        <v>964</v>
      </c>
      <c r="F241" s="27">
        <v>935</v>
      </c>
      <c r="G241" s="27">
        <v>1188</v>
      </c>
      <c r="H241" s="27">
        <v>1724</v>
      </c>
      <c r="I241" s="27">
        <v>1541</v>
      </c>
      <c r="J241" s="27">
        <v>1061.5</v>
      </c>
      <c r="K241" s="27">
        <v>126.5</v>
      </c>
      <c r="L241" s="28">
        <v>0.77390485162505884</v>
      </c>
      <c r="M241" s="28">
        <v>0.21274041598019849</v>
      </c>
      <c r="N241" s="28">
        <v>0.27489221127569158</v>
      </c>
      <c r="O241" s="28">
        <v>0.96796985398021662</v>
      </c>
      <c r="P241" s="28">
        <v>0.12994260254389689</v>
      </c>
      <c r="Q241" s="28">
        <v>0.134242406423695</v>
      </c>
      <c r="R241" s="28">
        <v>1.5379180405087141</v>
      </c>
      <c r="S241" s="28">
        <v>0.20253402264941159</v>
      </c>
      <c r="T241" s="28">
        <v>0.13169363861705999</v>
      </c>
      <c r="U241" s="28">
        <v>0.5408282563164466</v>
      </c>
      <c r="V241" s="27" t="s">
        <v>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B44B-5D7E-4820-BA52-027E93988F74}">
  <dimension ref="A1:M241"/>
  <sheetViews>
    <sheetView zoomScale="112" zoomScaleNormal="112" workbookViewId="0">
      <selection activeCell="A5" sqref="A5:XFD5"/>
    </sheetView>
  </sheetViews>
  <sheetFormatPr defaultRowHeight="14.4" x14ac:dyDescent="0.3"/>
  <cols>
    <col min="1" max="2" width="8.88671875" style="20"/>
    <col min="3" max="11" width="8.88671875" style="23"/>
    <col min="12" max="16384" width="8.88671875" style="20"/>
  </cols>
  <sheetData>
    <row r="1" spans="1:13" x14ac:dyDescent="0.3">
      <c r="A1" s="22" t="s">
        <v>0</v>
      </c>
      <c r="B1" s="22" t="s">
        <v>489</v>
      </c>
      <c r="C1" s="22" t="s">
        <v>488</v>
      </c>
      <c r="D1" s="22" t="s">
        <v>490</v>
      </c>
      <c r="E1" s="22" t="s">
        <v>491</v>
      </c>
      <c r="F1" s="22" t="s">
        <v>487</v>
      </c>
      <c r="G1" s="22" t="s">
        <v>492</v>
      </c>
      <c r="H1" s="22" t="s">
        <v>493</v>
      </c>
      <c r="I1" s="22" t="s">
        <v>486</v>
      </c>
      <c r="J1" s="22" t="s">
        <v>494</v>
      </c>
      <c r="K1" s="22" t="s">
        <v>495</v>
      </c>
      <c r="L1" s="22" t="s">
        <v>496</v>
      </c>
      <c r="M1" s="25" t="s">
        <v>497</v>
      </c>
    </row>
    <row r="2" spans="1:13" x14ac:dyDescent="0.3">
      <c r="A2" s="20" t="s">
        <v>10</v>
      </c>
      <c r="B2" s="20">
        <v>20.5</v>
      </c>
      <c r="C2" s="24">
        <v>1.121951219512195</v>
      </c>
      <c r="D2" s="24">
        <v>0.23831323209961949</v>
      </c>
      <c r="E2" s="24">
        <v>0.21240961991487831</v>
      </c>
      <c r="F2" s="24">
        <v>0.58536585365853655</v>
      </c>
      <c r="G2" s="24">
        <v>7.138607971445568E-2</v>
      </c>
      <c r="H2" s="24">
        <v>0.12195121951219511</v>
      </c>
      <c r="I2" s="24">
        <v>1.2682926829268291</v>
      </c>
      <c r="J2" s="24">
        <v>0.2489886243625464</v>
      </c>
      <c r="K2" s="24">
        <v>0.19631795382431541</v>
      </c>
      <c r="L2" s="20" t="s">
        <v>498</v>
      </c>
      <c r="M2" s="21">
        <f>E2+H2+K2</f>
        <v>0.53067879325138878</v>
      </c>
    </row>
    <row r="3" spans="1:13" x14ac:dyDescent="0.3">
      <c r="A3" s="20" t="s">
        <v>12</v>
      </c>
      <c r="B3" s="20">
        <v>583</v>
      </c>
      <c r="C3" s="24">
        <v>0.91423670668953683</v>
      </c>
      <c r="D3" s="24">
        <v>0.27694566324321351</v>
      </c>
      <c r="E3" s="24">
        <v>0.30292555660561632</v>
      </c>
      <c r="F3" s="24">
        <v>0.99399656946826753</v>
      </c>
      <c r="G3" s="24">
        <v>0.14096269667766101</v>
      </c>
      <c r="H3" s="24">
        <v>0.1418140675808047</v>
      </c>
      <c r="I3" s="24">
        <v>1.5257289879931391</v>
      </c>
      <c r="J3" s="24">
        <v>0.2289395256770865</v>
      </c>
      <c r="K3" s="24">
        <v>0.150052550275145</v>
      </c>
      <c r="L3" s="20" t="s">
        <v>499</v>
      </c>
      <c r="M3" s="21">
        <f t="shared" ref="M3:M66" si="0">E3+H3+K3</f>
        <v>0.59479217446156596</v>
      </c>
    </row>
    <row r="4" spans="1:13" x14ac:dyDescent="0.3">
      <c r="A4" s="20" t="s">
        <v>12</v>
      </c>
      <c r="B4" s="20">
        <v>438.5</v>
      </c>
      <c r="C4" s="24">
        <v>0.93614595210946405</v>
      </c>
      <c r="D4" s="24">
        <v>0.19353636993743559</v>
      </c>
      <c r="E4" s="24">
        <v>0.20673738908054939</v>
      </c>
      <c r="F4" s="24">
        <v>0.95553021664766247</v>
      </c>
      <c r="G4" s="24">
        <v>0.2082344405986036</v>
      </c>
      <c r="H4" s="24">
        <v>0.21792554224937399</v>
      </c>
      <c r="I4" s="24">
        <v>1.51539338654504</v>
      </c>
      <c r="J4" s="24">
        <v>0.32030395615108043</v>
      </c>
      <c r="K4" s="24">
        <v>0.21136686948419681</v>
      </c>
      <c r="L4" s="20" t="s">
        <v>499</v>
      </c>
      <c r="M4" s="21">
        <f t="shared" si="0"/>
        <v>0.63602980081412019</v>
      </c>
    </row>
    <row r="5" spans="1:13" x14ac:dyDescent="0.3">
      <c r="A5" s="20" t="s">
        <v>14</v>
      </c>
      <c r="B5" s="20">
        <v>5</v>
      </c>
      <c r="C5" s="24">
        <v>0.8</v>
      </c>
      <c r="D5" s="24">
        <v>0.52</v>
      </c>
      <c r="E5" s="24">
        <v>0.65</v>
      </c>
      <c r="F5" s="24">
        <v>1</v>
      </c>
      <c r="G5" s="24">
        <v>0.63245553203367588</v>
      </c>
      <c r="H5" s="24">
        <v>0.63245553203367588</v>
      </c>
      <c r="I5" s="24">
        <v>1.9</v>
      </c>
      <c r="J5" s="24">
        <v>1.2448293055676349</v>
      </c>
      <c r="K5" s="24">
        <v>0.65517331871980777</v>
      </c>
      <c r="L5" s="20" t="s">
        <v>500</v>
      </c>
      <c r="M5" s="21">
        <f t="shared" si="0"/>
        <v>1.9376288507534838</v>
      </c>
    </row>
    <row r="6" spans="1:13" x14ac:dyDescent="0.3">
      <c r="A6" s="20" t="s">
        <v>16</v>
      </c>
      <c r="B6" s="20">
        <v>3086.5</v>
      </c>
      <c r="C6" s="24">
        <v>0.86619147902154547</v>
      </c>
      <c r="D6" s="24">
        <v>0.18645847208595581</v>
      </c>
      <c r="E6" s="24">
        <v>0.21526241783927541</v>
      </c>
      <c r="F6" s="24">
        <v>0.88644095253523414</v>
      </c>
      <c r="G6" s="24">
        <v>2.5281540619574171E-2</v>
      </c>
      <c r="H6" s="24">
        <v>2.8520275994998422E-2</v>
      </c>
      <c r="I6" s="24">
        <v>1.255953345213024</v>
      </c>
      <c r="J6" s="24">
        <v>0.21108296330460599</v>
      </c>
      <c r="K6" s="24">
        <v>0.168065927057827</v>
      </c>
      <c r="L6" s="20" t="s">
        <v>501</v>
      </c>
      <c r="M6" s="21">
        <f t="shared" si="0"/>
        <v>0.41184862089210084</v>
      </c>
    </row>
    <row r="7" spans="1:13" x14ac:dyDescent="0.3">
      <c r="A7" s="20" t="s">
        <v>18</v>
      </c>
      <c r="B7" s="20">
        <v>23.5</v>
      </c>
      <c r="C7" s="24">
        <v>1</v>
      </c>
      <c r="D7" s="24">
        <v>0.2774128683064957</v>
      </c>
      <c r="E7" s="24">
        <v>0.2774128683064957</v>
      </c>
      <c r="F7" s="24">
        <v>0.8936170212765957</v>
      </c>
      <c r="G7" s="24">
        <v>0.2614123835769937</v>
      </c>
      <c r="H7" s="24">
        <v>0.29253290543139771</v>
      </c>
      <c r="I7" s="24">
        <v>1.2765957446808509</v>
      </c>
      <c r="J7" s="24">
        <v>0.39198554443925859</v>
      </c>
      <c r="K7" s="24">
        <v>0.30705534314408589</v>
      </c>
      <c r="L7" s="20" t="s">
        <v>500</v>
      </c>
      <c r="M7" s="21">
        <f t="shared" si="0"/>
        <v>0.87700111688197935</v>
      </c>
    </row>
    <row r="8" spans="1:13" x14ac:dyDescent="0.3">
      <c r="A8" s="20" t="s">
        <v>20</v>
      </c>
      <c r="B8" s="20">
        <v>13</v>
      </c>
      <c r="C8" s="24">
        <v>1.346153846153846</v>
      </c>
      <c r="D8" s="24">
        <v>0.3130227849395637</v>
      </c>
      <c r="E8" s="24">
        <v>0.2325312116693902</v>
      </c>
      <c r="F8" s="24">
        <v>1.346153846153846</v>
      </c>
      <c r="G8" s="24">
        <v>0.3130227849395637</v>
      </c>
      <c r="H8" s="24">
        <v>0.2325312116693902</v>
      </c>
      <c r="I8" s="24">
        <v>1.653846153846154</v>
      </c>
      <c r="J8" s="24">
        <v>0.39871735109851247</v>
      </c>
      <c r="K8" s="24">
        <v>0.24108490996654239</v>
      </c>
      <c r="L8" s="20" t="s">
        <v>500</v>
      </c>
      <c r="M8" s="21">
        <f t="shared" si="0"/>
        <v>0.70614733330532276</v>
      </c>
    </row>
    <row r="9" spans="1:13" x14ac:dyDescent="0.3">
      <c r="A9" s="20" t="s">
        <v>22</v>
      </c>
      <c r="B9" s="20">
        <v>682.5</v>
      </c>
      <c r="C9" s="24">
        <v>0.79853479853479858</v>
      </c>
      <c r="D9" s="24">
        <v>0.28481284719144001</v>
      </c>
      <c r="E9" s="24">
        <v>0.35666929946450959</v>
      </c>
      <c r="F9" s="24">
        <v>1.0139194139194141</v>
      </c>
      <c r="G9" s="24">
        <v>0.19280723621726681</v>
      </c>
      <c r="H9" s="24">
        <v>0.19016031606688519</v>
      </c>
      <c r="I9" s="24">
        <v>1.664468864468865</v>
      </c>
      <c r="J9" s="24">
        <v>0.21913816039957851</v>
      </c>
      <c r="K9" s="24">
        <v>0.1316565092189369</v>
      </c>
      <c r="L9" s="20" t="s">
        <v>500</v>
      </c>
      <c r="M9" s="21">
        <f t="shared" si="0"/>
        <v>0.67848612475033165</v>
      </c>
    </row>
    <row r="10" spans="1:13" x14ac:dyDescent="0.3">
      <c r="A10" s="20" t="s">
        <v>24</v>
      </c>
      <c r="B10" s="20">
        <v>15.5</v>
      </c>
      <c r="C10" s="24">
        <v>0.5161290322580645</v>
      </c>
      <c r="D10" s="24">
        <v>8.1591241556348212E-2</v>
      </c>
      <c r="E10" s="24">
        <v>0.15808303051542469</v>
      </c>
      <c r="F10" s="24">
        <v>0.80645161290322576</v>
      </c>
      <c r="G10" s="24">
        <v>0.17917976438837219</v>
      </c>
      <c r="H10" s="24">
        <v>0.22218290784158151</v>
      </c>
      <c r="I10" s="24">
        <v>1.225806451612903</v>
      </c>
      <c r="J10" s="24">
        <v>0.13503540643087061</v>
      </c>
      <c r="K10" s="24">
        <v>0.1101604631409734</v>
      </c>
      <c r="L10" s="20" t="s">
        <v>498</v>
      </c>
      <c r="M10" s="21">
        <f t="shared" si="0"/>
        <v>0.49042640149797956</v>
      </c>
    </row>
    <row r="11" spans="1:13" x14ac:dyDescent="0.3">
      <c r="A11" s="20" t="s">
        <v>26</v>
      </c>
      <c r="B11" s="20">
        <v>29.5</v>
      </c>
      <c r="C11" s="24">
        <v>0.89830508474576276</v>
      </c>
      <c r="D11" s="24">
        <v>8.610261581197122E-2</v>
      </c>
      <c r="E11" s="24">
        <v>9.5850081752949082E-2</v>
      </c>
      <c r="F11" s="24">
        <v>1.0169491525423731</v>
      </c>
      <c r="G11" s="24">
        <v>0.2041188809158857</v>
      </c>
      <c r="H11" s="24">
        <v>0.20071689956728761</v>
      </c>
      <c r="I11" s="24">
        <v>1.3898305084745759</v>
      </c>
      <c r="J11" s="24">
        <v>0.20474943090936659</v>
      </c>
      <c r="K11" s="24">
        <v>0.14731971248356859</v>
      </c>
      <c r="L11" s="20" t="s">
        <v>501</v>
      </c>
      <c r="M11" s="21">
        <f t="shared" si="0"/>
        <v>0.4438866938038053</v>
      </c>
    </row>
    <row r="12" spans="1:13" x14ac:dyDescent="0.3">
      <c r="A12" s="20" t="s">
        <v>28</v>
      </c>
      <c r="B12" s="20">
        <v>33.5</v>
      </c>
      <c r="C12" s="24">
        <v>0.61194029850746268</v>
      </c>
      <c r="D12" s="24">
        <v>8.7490919521744162E-2</v>
      </c>
      <c r="E12" s="24">
        <v>0.1429729660477283</v>
      </c>
      <c r="F12" s="24">
        <v>0.95522388059701491</v>
      </c>
      <c r="G12" s="24">
        <v>0.1144605024786326</v>
      </c>
      <c r="H12" s="24">
        <v>0.1198258385323185</v>
      </c>
      <c r="I12" s="24">
        <v>1.7462686567164181</v>
      </c>
      <c r="J12" s="24">
        <v>0.1871551067427662</v>
      </c>
      <c r="K12" s="24">
        <v>0.10717429189543019</v>
      </c>
      <c r="L12" s="20" t="s">
        <v>501</v>
      </c>
      <c r="M12" s="21">
        <f t="shared" si="0"/>
        <v>0.36997309647547699</v>
      </c>
    </row>
    <row r="13" spans="1:13" x14ac:dyDescent="0.3">
      <c r="A13" s="20" t="s">
        <v>30</v>
      </c>
      <c r="B13" s="20">
        <v>245</v>
      </c>
      <c r="C13" s="24">
        <v>0.9346938775510204</v>
      </c>
      <c r="D13" s="24">
        <v>4.1523388145487443E-2</v>
      </c>
      <c r="E13" s="24">
        <v>4.4424585570499657E-2</v>
      </c>
      <c r="F13" s="24">
        <v>0.84285714285714286</v>
      </c>
      <c r="G13" s="24">
        <v>2.7408287158551481E-2</v>
      </c>
      <c r="H13" s="24">
        <v>3.2518306798281417E-2</v>
      </c>
      <c r="I13" s="24">
        <v>1.3163265306122449</v>
      </c>
      <c r="J13" s="24">
        <v>0.23086245635648159</v>
      </c>
      <c r="K13" s="24">
        <v>0.175383881573141</v>
      </c>
      <c r="L13" s="20" t="s">
        <v>502</v>
      </c>
      <c r="M13" s="21">
        <f t="shared" si="0"/>
        <v>0.25232677394192204</v>
      </c>
    </row>
    <row r="14" spans="1:13" x14ac:dyDescent="0.3">
      <c r="A14" s="20" t="s">
        <v>32</v>
      </c>
      <c r="B14" s="20">
        <v>159.5</v>
      </c>
      <c r="C14" s="24">
        <v>1.2257053291536051</v>
      </c>
      <c r="D14" s="24">
        <v>3.4696169695319051E-2</v>
      </c>
      <c r="E14" s="24">
        <v>2.830710519899431E-2</v>
      </c>
      <c r="F14" s="24">
        <v>0.94984326018808773</v>
      </c>
      <c r="G14" s="24">
        <v>4.3235218577857551E-3</v>
      </c>
      <c r="H14" s="24">
        <v>4.5518266423553002E-3</v>
      </c>
      <c r="I14" s="24">
        <v>1.4890282131661441</v>
      </c>
      <c r="J14" s="24">
        <v>0.32291775099958492</v>
      </c>
      <c r="K14" s="24">
        <v>0.2168647633028791</v>
      </c>
      <c r="L14" s="20" t="s">
        <v>502</v>
      </c>
      <c r="M14" s="21">
        <f t="shared" si="0"/>
        <v>0.24972369514422871</v>
      </c>
    </row>
    <row r="15" spans="1:13" x14ac:dyDescent="0.3">
      <c r="A15" s="20" t="s">
        <v>34</v>
      </c>
      <c r="B15" s="20">
        <v>22.5</v>
      </c>
      <c r="C15" s="24">
        <v>0.75555555555555554</v>
      </c>
      <c r="D15" s="24">
        <v>0.22779085913789979</v>
      </c>
      <c r="E15" s="24">
        <v>0.3014879018001615</v>
      </c>
      <c r="F15" s="24">
        <v>0.97777777777777775</v>
      </c>
      <c r="G15" s="24">
        <v>0.35810335449154168</v>
      </c>
      <c r="H15" s="24">
        <v>0.36624206709362223</v>
      </c>
      <c r="I15" s="24">
        <v>1.622222222222222</v>
      </c>
      <c r="J15" s="24">
        <v>0.39716538678450569</v>
      </c>
      <c r="K15" s="24">
        <v>0.24482797815483229</v>
      </c>
      <c r="L15" s="20" t="s">
        <v>500</v>
      </c>
      <c r="M15" s="21">
        <f t="shared" si="0"/>
        <v>0.91255794704861593</v>
      </c>
    </row>
    <row r="16" spans="1:13" x14ac:dyDescent="0.3">
      <c r="A16" s="20" t="s">
        <v>36</v>
      </c>
      <c r="B16" s="20">
        <v>279</v>
      </c>
      <c r="C16" s="24">
        <v>0.86021505376344087</v>
      </c>
      <c r="D16" s="24">
        <v>0.2137053603366737</v>
      </c>
      <c r="E16" s="24">
        <v>0.2484324813913831</v>
      </c>
      <c r="F16" s="24">
        <v>0.95519713261648742</v>
      </c>
      <c r="G16" s="24">
        <v>4.8286122735696012E-2</v>
      </c>
      <c r="H16" s="24">
        <v>5.0550950256132043E-2</v>
      </c>
      <c r="I16" s="24">
        <v>1.2974910394265231</v>
      </c>
      <c r="J16" s="24">
        <v>6.0968605825491511E-2</v>
      </c>
      <c r="K16" s="24">
        <v>4.6989616092022457E-2</v>
      </c>
      <c r="L16" s="20" t="s">
        <v>501</v>
      </c>
      <c r="M16" s="21">
        <f t="shared" si="0"/>
        <v>0.34597304773953763</v>
      </c>
    </row>
    <row r="17" spans="1:13" x14ac:dyDescent="0.3">
      <c r="A17" s="20" t="s">
        <v>38</v>
      </c>
      <c r="B17" s="20">
        <v>429</v>
      </c>
      <c r="C17" s="24">
        <v>0.69813519813519809</v>
      </c>
      <c r="D17" s="24">
        <v>0.1869190641082206</v>
      </c>
      <c r="E17" s="24">
        <v>0.26774049583447962</v>
      </c>
      <c r="F17" s="24">
        <v>0.91375291375291379</v>
      </c>
      <c r="G17" s="24">
        <v>0.17119287426282609</v>
      </c>
      <c r="H17" s="24">
        <v>0.1873513853539602</v>
      </c>
      <c r="I17" s="24">
        <v>1.3216783216783221</v>
      </c>
      <c r="J17" s="24">
        <v>0.22373297484806959</v>
      </c>
      <c r="K17" s="24">
        <v>0.16927944657816901</v>
      </c>
      <c r="L17" s="20" t="s">
        <v>499</v>
      </c>
      <c r="M17" s="21">
        <f t="shared" si="0"/>
        <v>0.62437132776660875</v>
      </c>
    </row>
    <row r="18" spans="1:13" x14ac:dyDescent="0.3">
      <c r="A18" s="20" t="s">
        <v>40</v>
      </c>
      <c r="B18" s="20">
        <v>3542.5</v>
      </c>
      <c r="C18" s="24">
        <v>0.78884968242766407</v>
      </c>
      <c r="D18" s="24">
        <v>0.2406808091819391</v>
      </c>
      <c r="E18" s="24">
        <v>0.30510351280265491</v>
      </c>
      <c r="F18" s="24">
        <v>0.8835568101623148</v>
      </c>
      <c r="G18" s="24">
        <v>1.0543622599178589E-2</v>
      </c>
      <c r="H18" s="24">
        <v>1.193315752638663E-2</v>
      </c>
      <c r="I18" s="24">
        <v>1.1717713479181371</v>
      </c>
      <c r="J18" s="24">
        <v>0.14690308143639541</v>
      </c>
      <c r="K18" s="24">
        <v>0.1253683849646906</v>
      </c>
      <c r="L18" s="20" t="s">
        <v>501</v>
      </c>
      <c r="M18" s="21">
        <f t="shared" si="0"/>
        <v>0.44240505529373214</v>
      </c>
    </row>
    <row r="19" spans="1:13" x14ac:dyDescent="0.3">
      <c r="A19" s="20" t="s">
        <v>42</v>
      </c>
      <c r="B19" s="20">
        <v>116.5</v>
      </c>
      <c r="C19" s="24">
        <v>0.90128755364806867</v>
      </c>
      <c r="D19" s="24">
        <v>0.24235119575375999</v>
      </c>
      <c r="E19" s="24">
        <v>0.26889442195536228</v>
      </c>
      <c r="F19" s="24">
        <v>0.9570815450643777</v>
      </c>
      <c r="G19" s="24">
        <v>0.1840260840049906</v>
      </c>
      <c r="H19" s="24">
        <v>0.1922783747675462</v>
      </c>
      <c r="I19" s="24">
        <v>1.523605150214592</v>
      </c>
      <c r="J19" s="24">
        <v>0.2409929457081707</v>
      </c>
      <c r="K19" s="24">
        <v>0.158172834788743</v>
      </c>
      <c r="L19" s="20" t="s">
        <v>499</v>
      </c>
      <c r="M19" s="21">
        <f t="shared" si="0"/>
        <v>0.61934563151165145</v>
      </c>
    </row>
    <row r="20" spans="1:13" x14ac:dyDescent="0.3">
      <c r="A20" s="20" t="s">
        <v>44</v>
      </c>
      <c r="B20" s="20">
        <v>179.5</v>
      </c>
      <c r="C20" s="24">
        <v>0.85515320334261835</v>
      </c>
      <c r="D20" s="24">
        <v>0.2454119451983047</v>
      </c>
      <c r="E20" s="24">
        <v>0.28698009226772442</v>
      </c>
      <c r="F20" s="24">
        <v>1.075208913649025</v>
      </c>
      <c r="G20" s="24">
        <v>0.22639492544957349</v>
      </c>
      <c r="H20" s="24">
        <v>0.2105590109751215</v>
      </c>
      <c r="I20" s="24">
        <v>1.7158774373259049</v>
      </c>
      <c r="J20" s="24">
        <v>0.38451715830160438</v>
      </c>
      <c r="K20" s="24">
        <v>0.2240936036205779</v>
      </c>
      <c r="L20" s="20" t="s">
        <v>500</v>
      </c>
      <c r="M20" s="21">
        <f t="shared" si="0"/>
        <v>0.72163270686342385</v>
      </c>
    </row>
    <row r="21" spans="1:13" x14ac:dyDescent="0.3">
      <c r="A21" s="20" t="s">
        <v>46</v>
      </c>
      <c r="B21" s="20">
        <v>117</v>
      </c>
      <c r="C21" s="24">
        <v>0.83333333333333337</v>
      </c>
      <c r="D21" s="24">
        <v>0.20190266306212989</v>
      </c>
      <c r="E21" s="24">
        <v>0.24228319567455589</v>
      </c>
      <c r="F21" s="24">
        <v>1.012820512820513</v>
      </c>
      <c r="G21" s="24">
        <v>0.1605509953750095</v>
      </c>
      <c r="H21" s="24">
        <v>0.1585187042943132</v>
      </c>
      <c r="I21" s="24">
        <v>1.7222222222222221</v>
      </c>
      <c r="J21" s="24">
        <v>0.37074304916124051</v>
      </c>
      <c r="K21" s="24">
        <v>0.21527015757749449</v>
      </c>
      <c r="L21" s="20" t="s">
        <v>499</v>
      </c>
      <c r="M21" s="21">
        <f t="shared" si="0"/>
        <v>0.61607205754636352</v>
      </c>
    </row>
    <row r="22" spans="1:13" x14ac:dyDescent="0.3">
      <c r="A22" s="20" t="s">
        <v>46</v>
      </c>
      <c r="B22" s="20">
        <v>212.5</v>
      </c>
      <c r="C22" s="24">
        <v>0.95058823529411762</v>
      </c>
      <c r="D22" s="24">
        <v>0.15343524127360031</v>
      </c>
      <c r="E22" s="24">
        <v>0.16141083549821811</v>
      </c>
      <c r="F22" s="24">
        <v>1.0282352941176469</v>
      </c>
      <c r="G22" s="24">
        <v>0.19891853273979559</v>
      </c>
      <c r="H22" s="24">
        <v>0.1934562389345838</v>
      </c>
      <c r="I22" s="24">
        <v>1.4329411764705879</v>
      </c>
      <c r="J22" s="24">
        <v>0.45324729361644028</v>
      </c>
      <c r="K22" s="24">
        <v>0.31630558257304953</v>
      </c>
      <c r="L22" s="20" t="s">
        <v>500</v>
      </c>
      <c r="M22" s="21">
        <f t="shared" si="0"/>
        <v>0.67117265700585138</v>
      </c>
    </row>
    <row r="23" spans="1:13" x14ac:dyDescent="0.3">
      <c r="A23" s="20" t="s">
        <v>48</v>
      </c>
      <c r="B23" s="20">
        <v>130</v>
      </c>
      <c r="C23" s="24">
        <v>0.87692307692307692</v>
      </c>
      <c r="D23" s="24">
        <v>0.1425875902581529</v>
      </c>
      <c r="E23" s="24">
        <v>0.16259988362771829</v>
      </c>
      <c r="F23" s="24">
        <v>0.92307692307692313</v>
      </c>
      <c r="G23" s="24">
        <v>0.19304909428115169</v>
      </c>
      <c r="H23" s="24">
        <v>0.20913651880458101</v>
      </c>
      <c r="I23" s="24">
        <v>1.642307692307692</v>
      </c>
      <c r="J23" s="24">
        <v>0.32464088693893361</v>
      </c>
      <c r="K23" s="24">
        <v>0.19767360797218439</v>
      </c>
      <c r="L23" s="20" t="s">
        <v>499</v>
      </c>
      <c r="M23" s="21">
        <f t="shared" si="0"/>
        <v>0.56941001040448369</v>
      </c>
    </row>
    <row r="24" spans="1:13" x14ac:dyDescent="0.3">
      <c r="A24" s="20" t="s">
        <v>50</v>
      </c>
      <c r="B24" s="20">
        <v>108</v>
      </c>
      <c r="C24" s="24">
        <v>0.81018518518518523</v>
      </c>
      <c r="D24" s="24">
        <v>0.22771190211914691</v>
      </c>
      <c r="E24" s="24">
        <v>0.28106154775848979</v>
      </c>
      <c r="F24" s="24">
        <v>0.88888888888888884</v>
      </c>
      <c r="G24" s="24">
        <v>0.28404192782466098</v>
      </c>
      <c r="H24" s="24">
        <v>0.31954716880274359</v>
      </c>
      <c r="I24" s="24">
        <v>1.2361111111111109</v>
      </c>
      <c r="J24" s="24">
        <v>0.22933042626431899</v>
      </c>
      <c r="K24" s="24">
        <v>0.18552573810147149</v>
      </c>
      <c r="L24" s="20" t="s">
        <v>500</v>
      </c>
      <c r="M24" s="21">
        <f t="shared" si="0"/>
        <v>0.78613445466270493</v>
      </c>
    </row>
    <row r="25" spans="1:13" x14ac:dyDescent="0.3">
      <c r="A25" s="20" t="s">
        <v>52</v>
      </c>
      <c r="B25" s="20">
        <v>19</v>
      </c>
      <c r="C25" s="24">
        <v>1</v>
      </c>
      <c r="D25" s="24">
        <v>0.22329687826943609</v>
      </c>
      <c r="E25" s="24">
        <v>0.22329687826943609</v>
      </c>
      <c r="F25" s="24">
        <v>0.94736842105263153</v>
      </c>
      <c r="G25" s="24">
        <v>0.149584487534626</v>
      </c>
      <c r="H25" s="24">
        <v>0.15789473684210531</v>
      </c>
      <c r="I25" s="24">
        <v>1.1052631578947369</v>
      </c>
      <c r="J25" s="24">
        <v>0.18227904572146369</v>
      </c>
      <c r="K25" s="24">
        <v>0.1649191366051338</v>
      </c>
      <c r="L25" s="20" t="s">
        <v>498</v>
      </c>
      <c r="M25" s="21">
        <f t="shared" si="0"/>
        <v>0.54611075171667522</v>
      </c>
    </row>
    <row r="26" spans="1:13" x14ac:dyDescent="0.3">
      <c r="A26" s="20" t="s">
        <v>54</v>
      </c>
      <c r="B26" s="20">
        <v>307</v>
      </c>
      <c r="C26" s="24">
        <v>0.73941368078175895</v>
      </c>
      <c r="D26" s="24">
        <v>0.21142698280110159</v>
      </c>
      <c r="E26" s="24">
        <v>0.28593869480148981</v>
      </c>
      <c r="F26" s="24">
        <v>0.80781758957654726</v>
      </c>
      <c r="G26" s="24">
        <v>0.11109890807771521</v>
      </c>
      <c r="H26" s="24">
        <v>0.1375296966929781</v>
      </c>
      <c r="I26" s="24">
        <v>1.49185667752443</v>
      </c>
      <c r="J26" s="24">
        <v>0.2412199519905518</v>
      </c>
      <c r="K26" s="24">
        <v>0.16169110319017341</v>
      </c>
      <c r="L26" s="20" t="s">
        <v>499</v>
      </c>
      <c r="M26" s="21">
        <f t="shared" si="0"/>
        <v>0.58515949468464135</v>
      </c>
    </row>
    <row r="27" spans="1:13" x14ac:dyDescent="0.3">
      <c r="A27" s="20" t="s">
        <v>56</v>
      </c>
      <c r="B27" s="20">
        <v>1288.5</v>
      </c>
      <c r="C27" s="24">
        <v>0.91618160651920844</v>
      </c>
      <c r="D27" s="24">
        <v>0.19647740561288021</v>
      </c>
      <c r="E27" s="24">
        <v>0.2144524668633597</v>
      </c>
      <c r="F27" s="24">
        <v>0.96041909196740394</v>
      </c>
      <c r="G27" s="24">
        <v>0.1324154180847901</v>
      </c>
      <c r="H27" s="24">
        <v>0.13787253834525409</v>
      </c>
      <c r="I27" s="24">
        <v>1.468762126503687</v>
      </c>
      <c r="J27" s="24">
        <v>0.25328122082020582</v>
      </c>
      <c r="K27" s="24">
        <v>0.17244536487547429</v>
      </c>
      <c r="L27" s="20" t="s">
        <v>498</v>
      </c>
      <c r="M27" s="21">
        <f t="shared" si="0"/>
        <v>0.524770370084088</v>
      </c>
    </row>
    <row r="28" spans="1:13" x14ac:dyDescent="0.3">
      <c r="A28" s="20" t="s">
        <v>58</v>
      </c>
      <c r="B28" s="20">
        <v>1141.5</v>
      </c>
      <c r="C28" s="24">
        <v>0.83311432325886992</v>
      </c>
      <c r="D28" s="24">
        <v>0.22712918432226609</v>
      </c>
      <c r="E28" s="24">
        <v>0.27262667077167912</v>
      </c>
      <c r="F28" s="24">
        <v>0.98992553657468241</v>
      </c>
      <c r="G28" s="24">
        <v>0.12856095565330469</v>
      </c>
      <c r="H28" s="24">
        <v>0.12986931936128079</v>
      </c>
      <c r="I28" s="24">
        <v>1.338589575120456</v>
      </c>
      <c r="J28" s="24">
        <v>0.2019358914070932</v>
      </c>
      <c r="K28" s="24">
        <v>0.15085721206884611</v>
      </c>
      <c r="L28" s="20" t="s">
        <v>499</v>
      </c>
      <c r="M28" s="21">
        <f t="shared" si="0"/>
        <v>0.55335320220180595</v>
      </c>
    </row>
    <row r="29" spans="1:13" x14ac:dyDescent="0.3">
      <c r="A29" s="20" t="s">
        <v>60</v>
      </c>
      <c r="B29" s="20">
        <v>3101.5</v>
      </c>
      <c r="C29" s="24">
        <v>0.97565694019023053</v>
      </c>
      <c r="D29" s="24">
        <v>7.1481696124050323E-2</v>
      </c>
      <c r="E29" s="24">
        <v>7.3265195151600154E-2</v>
      </c>
      <c r="F29" s="24">
        <v>0.94228599064968566</v>
      </c>
      <c r="G29" s="24">
        <v>6.3038856403830071E-2</v>
      </c>
      <c r="H29" s="24">
        <v>6.6899918951746434E-2</v>
      </c>
      <c r="I29" s="24">
        <v>1.424472029663066</v>
      </c>
      <c r="J29" s="24">
        <v>0.1124580400018548</v>
      </c>
      <c r="K29" s="24">
        <v>7.8947173170156801E-2</v>
      </c>
      <c r="L29" s="20" t="s">
        <v>502</v>
      </c>
      <c r="M29" s="21">
        <f t="shared" si="0"/>
        <v>0.2191122872735034</v>
      </c>
    </row>
    <row r="30" spans="1:13" x14ac:dyDescent="0.3">
      <c r="A30" s="20" t="s">
        <v>62</v>
      </c>
      <c r="B30" s="20">
        <v>227.5</v>
      </c>
      <c r="C30" s="24">
        <v>0.99340659340659343</v>
      </c>
      <c r="D30" s="24">
        <v>0.28759251441971628</v>
      </c>
      <c r="E30" s="24">
        <v>0.28950131429418352</v>
      </c>
      <c r="F30" s="24">
        <v>1.142857142857143</v>
      </c>
      <c r="G30" s="24">
        <v>0.25911477499396007</v>
      </c>
      <c r="H30" s="24">
        <v>0.22672542811971511</v>
      </c>
      <c r="I30" s="24">
        <v>2.1692307692307691</v>
      </c>
      <c r="J30" s="24">
        <v>0.50483683586026074</v>
      </c>
      <c r="K30" s="24">
        <v>0.232726200928489</v>
      </c>
      <c r="L30" s="20" t="s">
        <v>500</v>
      </c>
      <c r="M30" s="21">
        <f t="shared" si="0"/>
        <v>0.7489529433423876</v>
      </c>
    </row>
    <row r="31" spans="1:13" x14ac:dyDescent="0.3">
      <c r="A31" s="20" t="s">
        <v>64</v>
      </c>
      <c r="B31" s="20">
        <v>355.5</v>
      </c>
      <c r="C31" s="24">
        <v>1.0534458509142051</v>
      </c>
      <c r="D31" s="24">
        <v>0.1150839490332857</v>
      </c>
      <c r="E31" s="24">
        <v>0.10924524400890009</v>
      </c>
      <c r="F31" s="24">
        <v>0.95218002812939517</v>
      </c>
      <c r="G31" s="24">
        <v>5.6796032968166751E-2</v>
      </c>
      <c r="H31" s="24">
        <v>5.9648418671147063E-2</v>
      </c>
      <c r="I31" s="24">
        <v>1.2658227848101271</v>
      </c>
      <c r="J31" s="24">
        <v>0.18668404954604151</v>
      </c>
      <c r="K31" s="24">
        <v>0.14748039914137279</v>
      </c>
      <c r="L31" s="20" t="s">
        <v>501</v>
      </c>
      <c r="M31" s="21">
        <f t="shared" si="0"/>
        <v>0.31637406182141992</v>
      </c>
    </row>
    <row r="32" spans="1:13" x14ac:dyDescent="0.3">
      <c r="A32" s="20" t="s">
        <v>66</v>
      </c>
      <c r="B32" s="20">
        <v>315</v>
      </c>
      <c r="C32" s="24">
        <v>0.84761904761904761</v>
      </c>
      <c r="D32" s="24">
        <v>0.19653794699075169</v>
      </c>
      <c r="E32" s="24">
        <v>0.23187061161830261</v>
      </c>
      <c r="F32" s="24">
        <v>0.96825396825396826</v>
      </c>
      <c r="G32" s="24">
        <v>6.2270397777056459E-2</v>
      </c>
      <c r="H32" s="24">
        <v>6.4312050163189458E-2</v>
      </c>
      <c r="I32" s="24">
        <v>1.484126984126984</v>
      </c>
      <c r="J32" s="24">
        <v>0.21870004771718499</v>
      </c>
      <c r="K32" s="24">
        <v>0.14735939044045621</v>
      </c>
      <c r="L32" s="20" t="s">
        <v>501</v>
      </c>
      <c r="M32" s="21">
        <f t="shared" si="0"/>
        <v>0.44354205222194826</v>
      </c>
    </row>
    <row r="33" spans="1:13" x14ac:dyDescent="0.3">
      <c r="A33" s="20" t="s">
        <v>68</v>
      </c>
      <c r="B33" s="20">
        <v>14</v>
      </c>
      <c r="C33" s="24">
        <v>1.178571428571429</v>
      </c>
      <c r="D33" s="24">
        <v>0.59894677968744359</v>
      </c>
      <c r="E33" s="24">
        <v>0.50819726761358852</v>
      </c>
      <c r="F33" s="24">
        <v>1.035714285714286</v>
      </c>
      <c r="G33" s="24">
        <v>0.52882474624860165</v>
      </c>
      <c r="H33" s="24">
        <v>0.51058941017106363</v>
      </c>
      <c r="I33" s="24">
        <v>1.321428571428571</v>
      </c>
      <c r="J33" s="24">
        <v>0.70643001588758858</v>
      </c>
      <c r="K33" s="24">
        <v>0.53459568769871568</v>
      </c>
      <c r="L33" s="20" t="s">
        <v>500</v>
      </c>
      <c r="M33" s="21">
        <f t="shared" si="0"/>
        <v>1.5533823654833678</v>
      </c>
    </row>
    <row r="34" spans="1:13" x14ac:dyDescent="0.3">
      <c r="A34" s="20" t="s">
        <v>70</v>
      </c>
      <c r="B34" s="20">
        <v>3163.5</v>
      </c>
      <c r="C34" s="24">
        <v>0.82266477003319105</v>
      </c>
      <c r="D34" s="24">
        <v>0.14786965789530221</v>
      </c>
      <c r="E34" s="24">
        <v>0.17974473112460659</v>
      </c>
      <c r="F34" s="24">
        <v>0.91607396870554769</v>
      </c>
      <c r="G34" s="24">
        <v>9.4485717094184671E-2</v>
      </c>
      <c r="H34" s="24">
        <v>0.1031420172627513</v>
      </c>
      <c r="I34" s="24">
        <v>1.570728623360202</v>
      </c>
      <c r="J34" s="24">
        <v>0.1207494263586547</v>
      </c>
      <c r="K34" s="24">
        <v>7.6874785728638401E-2</v>
      </c>
      <c r="L34" s="20" t="s">
        <v>501</v>
      </c>
      <c r="M34" s="21">
        <f t="shared" si="0"/>
        <v>0.35976153411599632</v>
      </c>
    </row>
    <row r="35" spans="1:13" x14ac:dyDescent="0.3">
      <c r="A35" s="20" t="s">
        <v>72</v>
      </c>
      <c r="B35" s="20">
        <v>1116.5</v>
      </c>
      <c r="C35" s="24">
        <v>0.93058665472458579</v>
      </c>
      <c r="D35" s="24">
        <v>0.26271449395795199</v>
      </c>
      <c r="E35" s="24">
        <v>0.28231061838696192</v>
      </c>
      <c r="F35" s="24">
        <v>0.99462606359158079</v>
      </c>
      <c r="G35" s="24">
        <v>0.1372721213640761</v>
      </c>
      <c r="H35" s="24">
        <v>0.13801379874200001</v>
      </c>
      <c r="I35" s="24">
        <v>1.541871921182266</v>
      </c>
      <c r="J35" s="24">
        <v>0.21777419843694701</v>
      </c>
      <c r="K35" s="24">
        <v>0.1412401350884992</v>
      </c>
      <c r="L35" s="20" t="s">
        <v>499</v>
      </c>
      <c r="M35" s="21">
        <f t="shared" si="0"/>
        <v>0.56156455221746115</v>
      </c>
    </row>
    <row r="36" spans="1:13" x14ac:dyDescent="0.3">
      <c r="A36" s="20" t="s">
        <v>74</v>
      </c>
      <c r="B36" s="20">
        <v>452</v>
      </c>
      <c r="C36" s="24">
        <v>0.86615044247787609</v>
      </c>
      <c r="D36" s="24">
        <v>0.26676504022847097</v>
      </c>
      <c r="E36" s="24">
        <v>0.30798926739021432</v>
      </c>
      <c r="F36" s="24">
        <v>0.97676991150442483</v>
      </c>
      <c r="G36" s="24">
        <v>3.3850424138691639E-2</v>
      </c>
      <c r="H36" s="24">
        <v>3.4655473863394383E-2</v>
      </c>
      <c r="I36" s="24">
        <v>1.321902654867257</v>
      </c>
      <c r="J36" s="24">
        <v>6.904412024345867E-2</v>
      </c>
      <c r="K36" s="24">
        <v>5.2230865857813093E-2</v>
      </c>
      <c r="L36" s="20" t="s">
        <v>501</v>
      </c>
      <c r="M36" s="21">
        <f t="shared" si="0"/>
        <v>0.39487560711142183</v>
      </c>
    </row>
    <row r="37" spans="1:13" x14ac:dyDescent="0.3">
      <c r="A37" s="20" t="s">
        <v>76</v>
      </c>
      <c r="B37" s="20">
        <v>135.5</v>
      </c>
      <c r="C37" s="24">
        <v>0.91512915129151295</v>
      </c>
      <c r="D37" s="24">
        <v>0.22204508555082589</v>
      </c>
      <c r="E37" s="24">
        <v>0.24263797654949121</v>
      </c>
      <c r="F37" s="24">
        <v>0.91881918819188191</v>
      </c>
      <c r="G37" s="24">
        <v>0.1083455233691141</v>
      </c>
      <c r="H37" s="24">
        <v>0.1179182202129716</v>
      </c>
      <c r="I37" s="24">
        <v>1.789667896678967</v>
      </c>
      <c r="J37" s="24">
        <v>0.16930284917660329</v>
      </c>
      <c r="K37" s="24">
        <v>9.4600148715174207E-2</v>
      </c>
      <c r="L37" s="20" t="s">
        <v>498</v>
      </c>
      <c r="M37" s="21">
        <f t="shared" si="0"/>
        <v>0.455156345477637</v>
      </c>
    </row>
    <row r="38" spans="1:13" x14ac:dyDescent="0.3">
      <c r="A38" s="20" t="s">
        <v>78</v>
      </c>
      <c r="B38" s="20">
        <v>13</v>
      </c>
      <c r="C38" s="24">
        <v>0.88461538461538458</v>
      </c>
      <c r="D38" s="24">
        <v>0.14142506985464051</v>
      </c>
      <c r="E38" s="24">
        <v>0.1598718180965501</v>
      </c>
      <c r="F38" s="24">
        <v>1.0769230769230771</v>
      </c>
      <c r="G38" s="24">
        <v>0.18266685254950449</v>
      </c>
      <c r="H38" s="24">
        <v>0.1696192202245399</v>
      </c>
      <c r="I38" s="24">
        <v>2.307692307692307</v>
      </c>
      <c r="J38" s="24">
        <v>0.46980907079950779</v>
      </c>
      <c r="K38" s="24">
        <v>0.20358393067978681</v>
      </c>
      <c r="L38" s="20" t="s">
        <v>498</v>
      </c>
      <c r="M38" s="21">
        <f t="shared" si="0"/>
        <v>0.53307496900087681</v>
      </c>
    </row>
    <row r="39" spans="1:13" x14ac:dyDescent="0.3">
      <c r="A39" s="20" t="s">
        <v>80</v>
      </c>
      <c r="B39" s="20">
        <v>12</v>
      </c>
      <c r="C39" s="24">
        <v>0.79166666666666663</v>
      </c>
      <c r="D39" s="24">
        <v>0.18175350455975561</v>
      </c>
      <c r="E39" s="24">
        <v>0.2295833741807439</v>
      </c>
      <c r="F39" s="24">
        <v>1.125</v>
      </c>
      <c r="G39" s="24">
        <v>0.41926274578121059</v>
      </c>
      <c r="H39" s="24">
        <v>0.37267799624996489</v>
      </c>
      <c r="I39" s="24">
        <v>1.166666666666667</v>
      </c>
      <c r="J39" s="24">
        <v>0.2115492529406641</v>
      </c>
      <c r="K39" s="24">
        <v>0.1813279310919978</v>
      </c>
      <c r="L39" s="20" t="s">
        <v>500</v>
      </c>
      <c r="M39" s="21">
        <f t="shared" si="0"/>
        <v>0.78358930152270667</v>
      </c>
    </row>
    <row r="40" spans="1:13" x14ac:dyDescent="0.3">
      <c r="A40" s="20" t="s">
        <v>82</v>
      </c>
      <c r="B40" s="20">
        <v>554</v>
      </c>
      <c r="C40" s="24">
        <v>0.79693140794223827</v>
      </c>
      <c r="D40" s="24">
        <v>0.25119320489244479</v>
      </c>
      <c r="E40" s="24">
        <v>0.31520053343242233</v>
      </c>
      <c r="F40" s="24">
        <v>0.91606498194945851</v>
      </c>
      <c r="G40" s="24">
        <v>3.3902914656815747E-2</v>
      </c>
      <c r="H40" s="24">
        <v>3.7009290088425469E-2</v>
      </c>
      <c r="I40" s="24">
        <v>1.2572202166064981</v>
      </c>
      <c r="J40" s="24">
        <v>0.17312571794513559</v>
      </c>
      <c r="K40" s="24">
        <v>0.1377051654581552</v>
      </c>
      <c r="L40" s="20" t="s">
        <v>498</v>
      </c>
      <c r="M40" s="21">
        <f t="shared" si="0"/>
        <v>0.48991498897900299</v>
      </c>
    </row>
    <row r="41" spans="1:13" x14ac:dyDescent="0.3">
      <c r="A41" s="20" t="s">
        <v>84</v>
      </c>
      <c r="B41" s="20">
        <v>2992.5</v>
      </c>
      <c r="C41" s="24">
        <v>0.87585630743525478</v>
      </c>
      <c r="D41" s="24">
        <v>0.20970643496468919</v>
      </c>
      <c r="E41" s="24">
        <v>0.23943018185113801</v>
      </c>
      <c r="F41" s="24">
        <v>0.89841269841269844</v>
      </c>
      <c r="G41" s="24">
        <v>3.9214963447691931E-2</v>
      </c>
      <c r="H41" s="24">
        <v>4.3649164261565232E-2</v>
      </c>
      <c r="I41" s="24">
        <v>1.2454469507101089</v>
      </c>
      <c r="J41" s="24">
        <v>0.30485349948596979</v>
      </c>
      <c r="K41" s="24">
        <v>0.24477437542574851</v>
      </c>
      <c r="L41" s="20" t="s">
        <v>498</v>
      </c>
      <c r="M41" s="21">
        <f t="shared" si="0"/>
        <v>0.52785372153845178</v>
      </c>
    </row>
    <row r="42" spans="1:13" x14ac:dyDescent="0.3">
      <c r="A42" s="20" t="s">
        <v>86</v>
      </c>
      <c r="B42" s="20">
        <v>239</v>
      </c>
      <c r="C42" s="24">
        <v>0.85146443514644354</v>
      </c>
      <c r="D42" s="24">
        <v>0.20723499182932581</v>
      </c>
      <c r="E42" s="24">
        <v>0.24338655060053491</v>
      </c>
      <c r="F42" s="24">
        <v>1.006276150627615</v>
      </c>
      <c r="G42" s="24">
        <v>0.17773477454021511</v>
      </c>
      <c r="H42" s="24">
        <v>0.17662624164287491</v>
      </c>
      <c r="I42" s="24">
        <v>1.48326359832636</v>
      </c>
      <c r="J42" s="24">
        <v>0.30047412633128889</v>
      </c>
      <c r="K42" s="24">
        <v>0.20257635033336541</v>
      </c>
      <c r="L42" s="20" t="s">
        <v>499</v>
      </c>
      <c r="M42" s="21">
        <f t="shared" si="0"/>
        <v>0.62258914257677522</v>
      </c>
    </row>
    <row r="43" spans="1:13" x14ac:dyDescent="0.3">
      <c r="A43" s="20" t="s">
        <v>88</v>
      </c>
      <c r="B43" s="20">
        <v>1332.5</v>
      </c>
      <c r="C43" s="24">
        <v>0.94108818011257034</v>
      </c>
      <c r="D43" s="24">
        <v>0.2196850639475374</v>
      </c>
      <c r="E43" s="24">
        <v>0.2334372788756727</v>
      </c>
      <c r="F43" s="24">
        <v>0.93133208255159472</v>
      </c>
      <c r="G43" s="24">
        <v>6.5429954557459494E-2</v>
      </c>
      <c r="H43" s="24">
        <v>7.0254161521204492E-2</v>
      </c>
      <c r="I43" s="24">
        <v>1.162101313320826</v>
      </c>
      <c r="J43" s="24">
        <v>0.21488755858846489</v>
      </c>
      <c r="K43" s="24">
        <v>0.1849129298153887</v>
      </c>
      <c r="L43" s="20" t="s">
        <v>498</v>
      </c>
      <c r="M43" s="21">
        <f t="shared" si="0"/>
        <v>0.48860437021226588</v>
      </c>
    </row>
    <row r="44" spans="1:13" x14ac:dyDescent="0.3">
      <c r="A44" s="20" t="s">
        <v>90</v>
      </c>
      <c r="B44" s="20">
        <v>11</v>
      </c>
      <c r="C44" s="24">
        <v>0.40909090909090912</v>
      </c>
      <c r="D44" s="24">
        <v>5.8730042989883872E-2</v>
      </c>
      <c r="E44" s="24">
        <v>0.14356232730860499</v>
      </c>
      <c r="F44" s="24">
        <v>0.54545454545454541</v>
      </c>
      <c r="G44" s="24">
        <v>4.9586776859504127E-2</v>
      </c>
      <c r="H44" s="24">
        <v>9.0909090909090912E-2</v>
      </c>
      <c r="I44" s="24">
        <v>1.363636363636364</v>
      </c>
      <c r="J44" s="24">
        <v>0.2200582967883363</v>
      </c>
      <c r="K44" s="24">
        <v>0.16137608431144659</v>
      </c>
      <c r="L44" s="20" t="s">
        <v>501</v>
      </c>
      <c r="M44" s="21">
        <f t="shared" si="0"/>
        <v>0.39584750252914247</v>
      </c>
    </row>
    <row r="45" spans="1:13" x14ac:dyDescent="0.3">
      <c r="A45" s="20" t="s">
        <v>92</v>
      </c>
      <c r="B45" s="20">
        <v>9</v>
      </c>
      <c r="C45" s="24">
        <v>0.72222222222222221</v>
      </c>
      <c r="D45" s="24">
        <v>0.24706785303937651</v>
      </c>
      <c r="E45" s="24">
        <v>0.34209395036221368</v>
      </c>
      <c r="F45" s="24">
        <v>1.444444444444444</v>
      </c>
      <c r="G45" s="24">
        <v>0.58560697410525542</v>
      </c>
      <c r="H45" s="24">
        <v>0.40542021284209989</v>
      </c>
      <c r="I45" s="24">
        <v>1.2777777777777779</v>
      </c>
      <c r="J45" s="24">
        <v>0.50850111917577701</v>
      </c>
      <c r="K45" s="24">
        <v>0.39795739761582549</v>
      </c>
      <c r="L45" s="20" t="s">
        <v>500</v>
      </c>
      <c r="M45" s="21">
        <f t="shared" si="0"/>
        <v>1.1454715608201391</v>
      </c>
    </row>
    <row r="46" spans="1:13" x14ac:dyDescent="0.3">
      <c r="A46" s="20" t="s">
        <v>94</v>
      </c>
      <c r="B46" s="20">
        <v>895</v>
      </c>
      <c r="C46" s="24">
        <v>0.7815642458100559</v>
      </c>
      <c r="D46" s="24">
        <v>0.20236721658275861</v>
      </c>
      <c r="E46" s="24">
        <v>0.25892588826528801</v>
      </c>
      <c r="F46" s="24">
        <v>0.93854748603351956</v>
      </c>
      <c r="G46" s="24">
        <v>7.1218653824181521E-2</v>
      </c>
      <c r="H46" s="24">
        <v>7.5881779967431506E-2</v>
      </c>
      <c r="I46" s="24">
        <v>1.0966480446927369</v>
      </c>
      <c r="J46" s="24">
        <v>7.6877519166572414E-2</v>
      </c>
      <c r="K46" s="24">
        <v>7.0102271680165376E-2</v>
      </c>
      <c r="L46" s="20" t="s">
        <v>501</v>
      </c>
      <c r="M46" s="21">
        <f t="shared" si="0"/>
        <v>0.40490993991288488</v>
      </c>
    </row>
    <row r="47" spans="1:13" x14ac:dyDescent="0.3">
      <c r="A47" s="20" t="s">
        <v>96</v>
      </c>
      <c r="B47" s="20">
        <v>156.5</v>
      </c>
      <c r="C47" s="24">
        <v>0.89776357827476039</v>
      </c>
      <c r="D47" s="24">
        <v>0.21423038689074181</v>
      </c>
      <c r="E47" s="24">
        <v>0.23862672988185829</v>
      </c>
      <c r="F47" s="24">
        <v>0.9744408945686901</v>
      </c>
      <c r="G47" s="24">
        <v>1.3382659918430439E-2</v>
      </c>
      <c r="H47" s="24">
        <v>1.373368050645484E-2</v>
      </c>
      <c r="I47" s="24">
        <v>1.5047923322683709</v>
      </c>
      <c r="J47" s="24">
        <v>0.33577316583741518</v>
      </c>
      <c r="K47" s="24">
        <v>0.2231358830299596</v>
      </c>
      <c r="L47" s="20" t="s">
        <v>498</v>
      </c>
      <c r="M47" s="21">
        <f t="shared" si="0"/>
        <v>0.47549629341827271</v>
      </c>
    </row>
    <row r="48" spans="1:13" x14ac:dyDescent="0.3">
      <c r="A48" s="20" t="s">
        <v>98</v>
      </c>
      <c r="B48" s="20">
        <v>329</v>
      </c>
      <c r="C48" s="24">
        <v>0.83738601823708203</v>
      </c>
      <c r="D48" s="24">
        <v>0.25868375516778808</v>
      </c>
      <c r="E48" s="24">
        <v>0.30891816860327509</v>
      </c>
      <c r="F48" s="24">
        <v>1.0136778115501519</v>
      </c>
      <c r="G48" s="24">
        <v>0.14930279708105959</v>
      </c>
      <c r="H48" s="24">
        <v>0.14728821661070049</v>
      </c>
      <c r="I48" s="24">
        <v>1.7006079027355621</v>
      </c>
      <c r="J48" s="24">
        <v>0.27124754613305879</v>
      </c>
      <c r="K48" s="24">
        <v>0.1595003443749354</v>
      </c>
      <c r="L48" s="20" t="s">
        <v>499</v>
      </c>
      <c r="M48" s="21">
        <f t="shared" si="0"/>
        <v>0.61570672958891104</v>
      </c>
    </row>
    <row r="49" spans="1:13" x14ac:dyDescent="0.3">
      <c r="A49" s="20" t="s">
        <v>100</v>
      </c>
      <c r="B49" s="20">
        <v>937</v>
      </c>
      <c r="C49" s="24">
        <v>0.83457844183564567</v>
      </c>
      <c r="D49" s="24">
        <v>0.21141144752655541</v>
      </c>
      <c r="E49" s="24">
        <v>0.25331525106442759</v>
      </c>
      <c r="F49" s="24">
        <v>0.97972251867662752</v>
      </c>
      <c r="G49" s="24">
        <v>0.20185775872381709</v>
      </c>
      <c r="H49" s="24">
        <v>0.20603564261897239</v>
      </c>
      <c r="I49" s="24">
        <v>1.3863393810032021</v>
      </c>
      <c r="J49" s="24">
        <v>0.28772688803552621</v>
      </c>
      <c r="K49" s="24">
        <v>0.20754433725118401</v>
      </c>
      <c r="L49" s="20" t="s">
        <v>500</v>
      </c>
      <c r="M49" s="21">
        <f t="shared" si="0"/>
        <v>0.66689523093458403</v>
      </c>
    </row>
    <row r="50" spans="1:13" x14ac:dyDescent="0.3">
      <c r="A50" s="20" t="s">
        <v>102</v>
      </c>
      <c r="B50" s="20">
        <v>10.5</v>
      </c>
      <c r="C50" s="24">
        <v>1.333333333333333</v>
      </c>
      <c r="D50" s="24">
        <v>0.20077953397894471</v>
      </c>
      <c r="E50" s="24">
        <v>0.15058465048420849</v>
      </c>
      <c r="F50" s="24">
        <v>1.285714285714286</v>
      </c>
      <c r="G50" s="24">
        <v>7.756295408837674E-2</v>
      </c>
      <c r="H50" s="24">
        <v>6.0326742068737463E-2</v>
      </c>
      <c r="I50" s="24">
        <v>1.666666666666667</v>
      </c>
      <c r="J50" s="24">
        <v>0.25097441747368088</v>
      </c>
      <c r="K50" s="24">
        <v>0.15058465048420849</v>
      </c>
      <c r="L50" s="20" t="s">
        <v>501</v>
      </c>
      <c r="M50" s="21">
        <f t="shared" si="0"/>
        <v>0.36149604303715444</v>
      </c>
    </row>
    <row r="51" spans="1:13" x14ac:dyDescent="0.3">
      <c r="A51" s="20" t="s">
        <v>104</v>
      </c>
      <c r="B51" s="20">
        <v>652.5</v>
      </c>
      <c r="C51" s="24">
        <v>0.7931034482758621</v>
      </c>
      <c r="D51" s="24">
        <v>0.23276302035805521</v>
      </c>
      <c r="E51" s="24">
        <v>0.29348380827754789</v>
      </c>
      <c r="F51" s="24">
        <v>0.88735632183908042</v>
      </c>
      <c r="G51" s="24">
        <v>6.1062823403609412E-2</v>
      </c>
      <c r="H51" s="24">
        <v>6.8814321711321486E-2</v>
      </c>
      <c r="I51" s="24">
        <v>1.396168582375479</v>
      </c>
      <c r="J51" s="24">
        <v>5.4298258025877212E-2</v>
      </c>
      <c r="K51" s="24">
        <v>3.889090380009317E-2</v>
      </c>
      <c r="L51" s="20" t="s">
        <v>501</v>
      </c>
      <c r="M51" s="21">
        <f t="shared" si="0"/>
        <v>0.40118903378896253</v>
      </c>
    </row>
    <row r="52" spans="1:13" x14ac:dyDescent="0.3">
      <c r="A52" s="20" t="s">
        <v>106</v>
      </c>
      <c r="B52" s="20">
        <v>1852</v>
      </c>
      <c r="C52" s="24">
        <v>0.84395248380129595</v>
      </c>
      <c r="D52" s="24">
        <v>0.22481732092142051</v>
      </c>
      <c r="E52" s="24">
        <v>0.26638623054796601</v>
      </c>
      <c r="F52" s="24">
        <v>1</v>
      </c>
      <c r="G52" s="24">
        <v>0.2297273490846386</v>
      </c>
      <c r="H52" s="24">
        <v>0.2297273490846386</v>
      </c>
      <c r="I52" s="24">
        <v>1.7734881209503239</v>
      </c>
      <c r="J52" s="24">
        <v>0.41660866292297438</v>
      </c>
      <c r="K52" s="24">
        <v>0.23490919279444319</v>
      </c>
      <c r="L52" s="20" t="s">
        <v>500</v>
      </c>
      <c r="M52" s="21">
        <f t="shared" si="0"/>
        <v>0.73102277242704783</v>
      </c>
    </row>
    <row r="53" spans="1:13" x14ac:dyDescent="0.3">
      <c r="A53" s="20" t="s">
        <v>108</v>
      </c>
      <c r="B53" s="20">
        <v>11.5</v>
      </c>
      <c r="C53" s="24">
        <v>0.86956521739130432</v>
      </c>
      <c r="D53" s="24">
        <v>0.37160826503437377</v>
      </c>
      <c r="E53" s="24">
        <v>0.42734950478952988</v>
      </c>
      <c r="F53" s="24">
        <v>1</v>
      </c>
      <c r="G53" s="24">
        <v>0.37401414204533162</v>
      </c>
      <c r="H53" s="24">
        <v>0.37401414204533162</v>
      </c>
      <c r="I53" s="24">
        <v>0.86956521739130432</v>
      </c>
      <c r="J53" s="24">
        <v>0.31667888985061521</v>
      </c>
      <c r="K53" s="24">
        <v>0.36418072332820739</v>
      </c>
      <c r="L53" s="20" t="s">
        <v>500</v>
      </c>
      <c r="M53" s="21">
        <f t="shared" si="0"/>
        <v>1.1655443701630688</v>
      </c>
    </row>
    <row r="54" spans="1:13" x14ac:dyDescent="0.3">
      <c r="A54" s="20" t="s">
        <v>110</v>
      </c>
      <c r="B54" s="20">
        <v>12.5</v>
      </c>
      <c r="C54" s="24">
        <v>0.84</v>
      </c>
      <c r="D54" s="24">
        <v>0.29759139772513582</v>
      </c>
      <c r="E54" s="24">
        <v>0.35427547348230448</v>
      </c>
      <c r="F54" s="24">
        <v>0.96</v>
      </c>
      <c r="G54" s="24">
        <v>0.1402534848051912</v>
      </c>
      <c r="H54" s="24">
        <v>0.14609738000540751</v>
      </c>
      <c r="I54" s="24">
        <v>1.28</v>
      </c>
      <c r="J54" s="24">
        <v>0.22179486017489219</v>
      </c>
      <c r="K54" s="24">
        <v>0.1732772345116346</v>
      </c>
      <c r="L54" s="20" t="s">
        <v>500</v>
      </c>
      <c r="M54" s="21">
        <f t="shared" si="0"/>
        <v>0.67365008799934656</v>
      </c>
    </row>
    <row r="55" spans="1:13" x14ac:dyDescent="0.3">
      <c r="A55" s="20" t="s">
        <v>112</v>
      </c>
      <c r="B55" s="20">
        <v>17.5</v>
      </c>
      <c r="C55" s="24">
        <v>1.4571428571428571</v>
      </c>
      <c r="D55" s="24">
        <v>0.85116907623271909</v>
      </c>
      <c r="E55" s="24">
        <v>0.58413564055186606</v>
      </c>
      <c r="F55" s="24">
        <v>1.142857142857143</v>
      </c>
      <c r="G55" s="24">
        <v>0.62303418459076509</v>
      </c>
      <c r="H55" s="24">
        <v>0.54515491151691953</v>
      </c>
      <c r="I55" s="24">
        <v>1.4</v>
      </c>
      <c r="J55" s="24">
        <v>0.76481823904474855</v>
      </c>
      <c r="K55" s="24">
        <v>0.54629874217482044</v>
      </c>
      <c r="L55" s="20" t="s">
        <v>500</v>
      </c>
      <c r="M55" s="21">
        <f t="shared" si="0"/>
        <v>1.6755892942436059</v>
      </c>
    </row>
    <row r="56" spans="1:13" x14ac:dyDescent="0.3">
      <c r="A56" s="20" t="s">
        <v>114</v>
      </c>
      <c r="B56" s="20">
        <v>10.5</v>
      </c>
      <c r="C56" s="24">
        <v>0.61904761904761907</v>
      </c>
      <c r="D56" s="24">
        <v>0.205262394242782</v>
      </c>
      <c r="E56" s="24">
        <v>0.33157771377680167</v>
      </c>
      <c r="F56" s="24">
        <v>0.8571428571428571</v>
      </c>
      <c r="G56" s="24">
        <v>0.22521014091492311</v>
      </c>
      <c r="H56" s="24">
        <v>0.26274516440074358</v>
      </c>
      <c r="I56" s="24">
        <v>1.285714285714286</v>
      </c>
      <c r="J56" s="24">
        <v>0.30980401460505308</v>
      </c>
      <c r="K56" s="24">
        <v>0.2409586780261524</v>
      </c>
      <c r="L56" s="20" t="s">
        <v>500</v>
      </c>
      <c r="M56" s="21">
        <f t="shared" si="0"/>
        <v>0.83528155620369771</v>
      </c>
    </row>
    <row r="57" spans="1:13" x14ac:dyDescent="0.3">
      <c r="A57" s="20" t="s">
        <v>116</v>
      </c>
      <c r="B57" s="20">
        <v>6.5</v>
      </c>
      <c r="C57" s="24">
        <v>1.0769230769230771</v>
      </c>
      <c r="D57" s="24">
        <v>0.46891391138837751</v>
      </c>
      <c r="E57" s="24">
        <v>0.43542006057492189</v>
      </c>
      <c r="F57" s="24">
        <v>1.384615384615385</v>
      </c>
      <c r="G57" s="24">
        <v>0.32560512407568287</v>
      </c>
      <c r="H57" s="24">
        <v>0.23515925627688211</v>
      </c>
      <c r="I57" s="24">
        <v>1.3076923076923079</v>
      </c>
      <c r="J57" s="24">
        <v>0.54777689046310618</v>
      </c>
      <c r="K57" s="24">
        <v>0.41888821035413998</v>
      </c>
      <c r="L57" s="20" t="s">
        <v>500</v>
      </c>
      <c r="M57" s="21">
        <f t="shared" si="0"/>
        <v>1.089467527205944</v>
      </c>
    </row>
    <row r="58" spans="1:13" x14ac:dyDescent="0.3">
      <c r="A58" s="20" t="s">
        <v>118</v>
      </c>
      <c r="B58" s="20">
        <v>750</v>
      </c>
      <c r="C58" s="24">
        <v>0.96933333333333338</v>
      </c>
      <c r="D58" s="24">
        <v>0.1094554904061435</v>
      </c>
      <c r="E58" s="24">
        <v>0.1129183188509046</v>
      </c>
      <c r="F58" s="24">
        <v>0.9986666666666667</v>
      </c>
      <c r="G58" s="24">
        <v>9.6108606878101115E-3</v>
      </c>
      <c r="H58" s="24">
        <v>9.6236922775134633E-3</v>
      </c>
      <c r="I58" s="24">
        <v>1.216666666666667</v>
      </c>
      <c r="J58" s="24">
        <v>0.1235039140680305</v>
      </c>
      <c r="K58" s="24">
        <v>0.10151006635728529</v>
      </c>
      <c r="L58" s="20" t="s">
        <v>502</v>
      </c>
      <c r="M58" s="21">
        <f t="shared" si="0"/>
        <v>0.22405207748570335</v>
      </c>
    </row>
    <row r="59" spans="1:13" x14ac:dyDescent="0.3">
      <c r="A59" s="20" t="s">
        <v>120</v>
      </c>
      <c r="B59" s="20">
        <v>440</v>
      </c>
      <c r="C59" s="24">
        <v>0.67272727272727273</v>
      </c>
      <c r="D59" s="24">
        <v>0.23068575144781631</v>
      </c>
      <c r="E59" s="24">
        <v>0.34291125215215928</v>
      </c>
      <c r="F59" s="24">
        <v>0.90113636363636362</v>
      </c>
      <c r="G59" s="24">
        <v>0.17022673013672041</v>
      </c>
      <c r="H59" s="24">
        <v>0.18890229826016891</v>
      </c>
      <c r="I59" s="24">
        <v>1.586363636363636</v>
      </c>
      <c r="J59" s="24">
        <v>0.18855742540364581</v>
      </c>
      <c r="K59" s="24">
        <v>0.1188614142945618</v>
      </c>
      <c r="L59" s="20" t="s">
        <v>500</v>
      </c>
      <c r="M59" s="21">
        <f t="shared" si="0"/>
        <v>0.65067496470689001</v>
      </c>
    </row>
    <row r="60" spans="1:13" x14ac:dyDescent="0.3">
      <c r="A60" s="20" t="s">
        <v>122</v>
      </c>
      <c r="B60" s="20">
        <v>151</v>
      </c>
      <c r="C60" s="24">
        <v>1.0993377483443709</v>
      </c>
      <c r="D60" s="24">
        <v>0.17069136608398811</v>
      </c>
      <c r="E60" s="24">
        <v>0.15526744746194099</v>
      </c>
      <c r="F60" s="24">
        <v>1.082781456953642</v>
      </c>
      <c r="G60" s="24">
        <v>0.1742688393695902</v>
      </c>
      <c r="H60" s="24">
        <v>0.16094553360738911</v>
      </c>
      <c r="I60" s="24">
        <v>2.125827814569536</v>
      </c>
      <c r="J60" s="24">
        <v>0.57090652702809741</v>
      </c>
      <c r="K60" s="24">
        <v>0.26855727595402712</v>
      </c>
      <c r="L60" s="20" t="s">
        <v>499</v>
      </c>
      <c r="M60" s="21">
        <f t="shared" si="0"/>
        <v>0.58477025702335728</v>
      </c>
    </row>
    <row r="61" spans="1:13" x14ac:dyDescent="0.3">
      <c r="A61" s="20" t="s">
        <v>124</v>
      </c>
      <c r="B61" s="20">
        <v>1770.5</v>
      </c>
      <c r="C61" s="24">
        <v>0.8463710816153629</v>
      </c>
      <c r="D61" s="24">
        <v>0.21048283131024301</v>
      </c>
      <c r="E61" s="24">
        <v>0.2486885904803372</v>
      </c>
      <c r="F61" s="24">
        <v>0.968370516803163</v>
      </c>
      <c r="G61" s="24">
        <v>0.1690744794916251</v>
      </c>
      <c r="H61" s="24">
        <v>0.17459688885384789</v>
      </c>
      <c r="I61" s="24">
        <v>1.6054786783394519</v>
      </c>
      <c r="J61" s="24">
        <v>0.25267132926522301</v>
      </c>
      <c r="K61" s="24">
        <v>0.15738068195745911</v>
      </c>
      <c r="L61" s="20" t="s">
        <v>499</v>
      </c>
      <c r="M61" s="21">
        <f t="shared" si="0"/>
        <v>0.58066616129164417</v>
      </c>
    </row>
    <row r="62" spans="1:13" x14ac:dyDescent="0.3">
      <c r="A62" s="20" t="s">
        <v>126</v>
      </c>
      <c r="B62" s="20">
        <v>5</v>
      </c>
      <c r="C62" s="24">
        <v>1.2</v>
      </c>
      <c r="D62" s="24">
        <v>0.4</v>
      </c>
      <c r="E62" s="24">
        <v>0.33333333333333331</v>
      </c>
      <c r="F62" s="24">
        <v>0.9</v>
      </c>
      <c r="G62" s="24">
        <v>9.9999999999999992E-2</v>
      </c>
      <c r="H62" s="24">
        <v>0.1111111111111111</v>
      </c>
      <c r="I62" s="24">
        <v>1.6</v>
      </c>
      <c r="J62" s="24">
        <v>0.4</v>
      </c>
      <c r="K62" s="24">
        <v>0.25</v>
      </c>
      <c r="L62" s="20" t="s">
        <v>500</v>
      </c>
      <c r="M62" s="21">
        <f t="shared" si="0"/>
        <v>0.69444444444444442</v>
      </c>
    </row>
    <row r="63" spans="1:13" x14ac:dyDescent="0.3">
      <c r="A63" s="20" t="s">
        <v>128</v>
      </c>
      <c r="B63" s="20">
        <v>484</v>
      </c>
      <c r="C63" s="24">
        <v>0.84710743801652888</v>
      </c>
      <c r="D63" s="24">
        <v>0.1967534493042245</v>
      </c>
      <c r="E63" s="24">
        <v>0.23226504747132851</v>
      </c>
      <c r="F63" s="24">
        <v>0.8450413223140496</v>
      </c>
      <c r="G63" s="24">
        <v>3.1697657788659121E-2</v>
      </c>
      <c r="H63" s="24">
        <v>3.7510186723009813E-2</v>
      </c>
      <c r="I63" s="24">
        <v>1.1322314049586779</v>
      </c>
      <c r="J63" s="24">
        <v>0.19469072110707131</v>
      </c>
      <c r="K63" s="24">
        <v>0.1719531186420119</v>
      </c>
      <c r="L63" s="20" t="s">
        <v>501</v>
      </c>
      <c r="M63" s="21">
        <f t="shared" si="0"/>
        <v>0.4417283528363502</v>
      </c>
    </row>
    <row r="64" spans="1:13" x14ac:dyDescent="0.3">
      <c r="A64" s="20" t="s">
        <v>130</v>
      </c>
      <c r="B64" s="20">
        <v>39</v>
      </c>
      <c r="C64" s="24">
        <v>0.85897435897435892</v>
      </c>
      <c r="D64" s="24">
        <v>0.15974200554327189</v>
      </c>
      <c r="E64" s="24">
        <v>0.185968304960824</v>
      </c>
      <c r="F64" s="24">
        <v>0.94871794871794868</v>
      </c>
      <c r="G64" s="24">
        <v>0.2120659574866369</v>
      </c>
      <c r="H64" s="24">
        <v>0.2235289822156443</v>
      </c>
      <c r="I64" s="24">
        <v>1.2564102564102559</v>
      </c>
      <c r="J64" s="24">
        <v>0.23194628927630909</v>
      </c>
      <c r="K64" s="24">
        <v>0.18461031187298069</v>
      </c>
      <c r="L64" s="20" t="s">
        <v>499</v>
      </c>
      <c r="M64" s="21">
        <f t="shared" si="0"/>
        <v>0.59410759904944899</v>
      </c>
    </row>
    <row r="65" spans="1:13" x14ac:dyDescent="0.3">
      <c r="A65" s="20" t="s">
        <v>132</v>
      </c>
      <c r="B65" s="20">
        <v>28.5</v>
      </c>
      <c r="C65" s="24">
        <v>0.75438596491228072</v>
      </c>
      <c r="D65" s="24">
        <v>0.2140680237951598</v>
      </c>
      <c r="E65" s="24">
        <v>0.283764589681956</v>
      </c>
      <c r="F65" s="24">
        <v>0.77192982456140347</v>
      </c>
      <c r="G65" s="24">
        <v>0.11794629596304081</v>
      </c>
      <c r="H65" s="24">
        <v>0.15279406522484831</v>
      </c>
      <c r="I65" s="24">
        <v>1.228070175438597</v>
      </c>
      <c r="J65" s="24">
        <v>0.16634286314015129</v>
      </c>
      <c r="K65" s="24">
        <v>0.13545061712840889</v>
      </c>
      <c r="L65" s="20" t="s">
        <v>499</v>
      </c>
      <c r="M65" s="21">
        <f t="shared" si="0"/>
        <v>0.57200927203521323</v>
      </c>
    </row>
    <row r="66" spans="1:13" x14ac:dyDescent="0.3">
      <c r="A66" s="20" t="s">
        <v>134</v>
      </c>
      <c r="B66" s="20">
        <v>1304.5</v>
      </c>
      <c r="C66" s="24">
        <v>0.84821770793407436</v>
      </c>
      <c r="D66" s="24">
        <v>0.14856232298402311</v>
      </c>
      <c r="E66" s="24">
        <v>0.175146453079673</v>
      </c>
      <c r="F66" s="24">
        <v>0.9290916059793024</v>
      </c>
      <c r="G66" s="24">
        <v>9.1232319397630157E-2</v>
      </c>
      <c r="H66" s="24">
        <v>9.8195182057927835E-2</v>
      </c>
      <c r="I66" s="24">
        <v>1.5289382905327711</v>
      </c>
      <c r="J66" s="24">
        <v>0.14623441759225311</v>
      </c>
      <c r="K66" s="24">
        <v>9.5644421032386129E-2</v>
      </c>
      <c r="L66" s="20" t="s">
        <v>501</v>
      </c>
      <c r="M66" s="21">
        <f t="shared" si="0"/>
        <v>0.36898605616998698</v>
      </c>
    </row>
    <row r="67" spans="1:13" x14ac:dyDescent="0.3">
      <c r="A67" s="20" t="s">
        <v>136</v>
      </c>
      <c r="B67" s="20">
        <v>9</v>
      </c>
      <c r="C67" s="24">
        <v>1.3888888888888891</v>
      </c>
      <c r="D67" s="24">
        <v>0.58758817969937105</v>
      </c>
      <c r="E67" s="24">
        <v>0.42306348938354721</v>
      </c>
      <c r="F67" s="24">
        <v>1.555555555555556</v>
      </c>
      <c r="G67" s="24">
        <v>0.36309731283587021</v>
      </c>
      <c r="H67" s="24">
        <v>0.23341970110877369</v>
      </c>
      <c r="I67" s="24">
        <v>2.7222222222222219</v>
      </c>
      <c r="J67" s="24">
        <v>0.78482502027673029</v>
      </c>
      <c r="K67" s="24">
        <v>0.28830306867308458</v>
      </c>
      <c r="L67" s="20" t="s">
        <v>500</v>
      </c>
      <c r="M67" s="21">
        <f t="shared" ref="M67:M130" si="1">E67+H67+K67</f>
        <v>0.94478625916540548</v>
      </c>
    </row>
    <row r="68" spans="1:13" x14ac:dyDescent="0.3">
      <c r="A68" s="20" t="s">
        <v>138</v>
      </c>
      <c r="B68" s="20">
        <v>26.5</v>
      </c>
      <c r="C68" s="24">
        <v>1.037735849056604</v>
      </c>
      <c r="D68" s="24">
        <v>0.48175039525540608</v>
      </c>
      <c r="E68" s="24">
        <v>0.46423219906430041</v>
      </c>
      <c r="F68" s="24">
        <v>1.094339622641509</v>
      </c>
      <c r="G68" s="24">
        <v>0.35496753507662693</v>
      </c>
      <c r="H68" s="24">
        <v>0.32436688550105558</v>
      </c>
      <c r="I68" s="24">
        <v>1.811320754716981</v>
      </c>
      <c r="J68" s="24">
        <v>0.41424530317661401</v>
      </c>
      <c r="K68" s="24">
        <v>0.22869792779542231</v>
      </c>
      <c r="L68" s="20" t="s">
        <v>500</v>
      </c>
      <c r="M68" s="21">
        <f t="shared" si="1"/>
        <v>1.0172970123607783</v>
      </c>
    </row>
    <row r="69" spans="1:13" x14ac:dyDescent="0.3">
      <c r="A69" s="20" t="s">
        <v>140</v>
      </c>
      <c r="B69" s="20">
        <v>417.5</v>
      </c>
      <c r="C69" s="24">
        <v>1.023952095808383</v>
      </c>
      <c r="D69" s="24">
        <v>0.22900174945065721</v>
      </c>
      <c r="E69" s="24">
        <v>0.22364498338163599</v>
      </c>
      <c r="F69" s="24">
        <v>0.97844311377245508</v>
      </c>
      <c r="G69" s="24">
        <v>6.0418310170053197E-2</v>
      </c>
      <c r="H69" s="24">
        <v>6.1749435730715327E-2</v>
      </c>
      <c r="I69" s="24">
        <v>1.41437125748503</v>
      </c>
      <c r="J69" s="24">
        <v>0.1484434806774019</v>
      </c>
      <c r="K69" s="24">
        <v>0.1049536887092553</v>
      </c>
      <c r="L69" s="20" t="s">
        <v>501</v>
      </c>
      <c r="M69" s="21">
        <f t="shared" si="1"/>
        <v>0.39034810782160662</v>
      </c>
    </row>
    <row r="70" spans="1:13" x14ac:dyDescent="0.3">
      <c r="A70" s="20" t="s">
        <v>142</v>
      </c>
      <c r="B70" s="20">
        <v>51.5</v>
      </c>
      <c r="C70" s="24">
        <v>1</v>
      </c>
      <c r="D70" s="24">
        <v>8.7916360564440937E-2</v>
      </c>
      <c r="E70" s="24">
        <v>8.7916360564440937E-2</v>
      </c>
      <c r="F70" s="24">
        <v>0.92233009708737868</v>
      </c>
      <c r="G70" s="24">
        <v>6.8548566074206008E-2</v>
      </c>
      <c r="H70" s="24">
        <v>7.4321076901507563E-2</v>
      </c>
      <c r="I70" s="24">
        <v>1.689320388349514</v>
      </c>
      <c r="J70" s="24">
        <v>0.156203244564417</v>
      </c>
      <c r="K70" s="24">
        <v>9.2465139023764076E-2</v>
      </c>
      <c r="L70" s="20" t="s">
        <v>502</v>
      </c>
      <c r="M70" s="21">
        <f t="shared" si="1"/>
        <v>0.25470257648971256</v>
      </c>
    </row>
    <row r="71" spans="1:13" x14ac:dyDescent="0.3">
      <c r="A71" s="20" t="s">
        <v>144</v>
      </c>
      <c r="B71" s="20">
        <v>8.5</v>
      </c>
      <c r="C71" s="24">
        <v>1.117647058823529</v>
      </c>
      <c r="D71" s="24">
        <v>0.52688407588400865</v>
      </c>
      <c r="E71" s="24">
        <v>0.47142259421200772</v>
      </c>
      <c r="F71" s="24">
        <v>0.88235294117647056</v>
      </c>
      <c r="G71" s="24">
        <v>0.31383148355358431</v>
      </c>
      <c r="H71" s="24">
        <v>0.35567568136072891</v>
      </c>
      <c r="I71" s="24">
        <v>1.6470588235294119</v>
      </c>
      <c r="J71" s="24">
        <v>0.67537012588267686</v>
      </c>
      <c r="K71" s="24">
        <v>0.41004614785733962</v>
      </c>
      <c r="L71" s="20" t="s">
        <v>500</v>
      </c>
      <c r="M71" s="21">
        <f t="shared" si="1"/>
        <v>1.2371444234300761</v>
      </c>
    </row>
    <row r="72" spans="1:13" x14ac:dyDescent="0.3">
      <c r="A72" s="20" t="s">
        <v>146</v>
      </c>
      <c r="B72" s="20">
        <v>227</v>
      </c>
      <c r="C72" s="24">
        <v>0.70264317180616742</v>
      </c>
      <c r="D72" s="24">
        <v>0.23586568585387149</v>
      </c>
      <c r="E72" s="24">
        <v>0.33568345259453808</v>
      </c>
      <c r="F72" s="24">
        <v>0.90748898678414092</v>
      </c>
      <c r="G72" s="24">
        <v>6.7158850572328913E-2</v>
      </c>
      <c r="H72" s="24">
        <v>7.4005141164653704E-2</v>
      </c>
      <c r="I72" s="24">
        <v>1.1718061674008811</v>
      </c>
      <c r="J72" s="24">
        <v>0.1330628511466963</v>
      </c>
      <c r="K72" s="24">
        <v>0.1135536361289476</v>
      </c>
      <c r="L72" s="20" t="s">
        <v>498</v>
      </c>
      <c r="M72" s="21">
        <f t="shared" si="1"/>
        <v>0.5232422298881394</v>
      </c>
    </row>
    <row r="73" spans="1:13" x14ac:dyDescent="0.3">
      <c r="A73" s="20" t="s">
        <v>148</v>
      </c>
      <c r="B73" s="20">
        <v>59</v>
      </c>
      <c r="C73" s="24">
        <v>0.96610169491525422</v>
      </c>
      <c r="D73" s="24">
        <v>0.203625437069965</v>
      </c>
      <c r="E73" s="24">
        <v>0.21077018924785851</v>
      </c>
      <c r="F73" s="24">
        <v>1.14406779661017</v>
      </c>
      <c r="G73" s="24">
        <v>0.2176975162559987</v>
      </c>
      <c r="H73" s="24">
        <v>0.19028375494968769</v>
      </c>
      <c r="I73" s="24">
        <v>1.9661016949152541</v>
      </c>
      <c r="J73" s="24">
        <v>0.4711251322352743</v>
      </c>
      <c r="K73" s="24">
        <v>0.23962398967138951</v>
      </c>
      <c r="L73" s="20" t="s">
        <v>499</v>
      </c>
      <c r="M73" s="21">
        <f t="shared" si="1"/>
        <v>0.64067793386893568</v>
      </c>
    </row>
    <row r="74" spans="1:13" x14ac:dyDescent="0.3">
      <c r="A74" s="20" t="s">
        <v>150</v>
      </c>
      <c r="B74" s="20">
        <v>10.5</v>
      </c>
      <c r="C74" s="24">
        <v>1</v>
      </c>
      <c r="D74" s="24">
        <v>0.24281045302822779</v>
      </c>
      <c r="E74" s="24">
        <v>0.24281045302822779</v>
      </c>
      <c r="F74" s="24">
        <v>1.4761904761904761</v>
      </c>
      <c r="G74" s="24">
        <v>0.37939699754449119</v>
      </c>
      <c r="H74" s="24">
        <v>0.25701086930433281</v>
      </c>
      <c r="I74" s="24">
        <v>1.4761904761904761</v>
      </c>
      <c r="J74" s="24">
        <v>0.48440172335735932</v>
      </c>
      <c r="K74" s="24">
        <v>0.32814310291950138</v>
      </c>
      <c r="L74" s="20" t="s">
        <v>500</v>
      </c>
      <c r="M74" s="21">
        <f t="shared" si="1"/>
        <v>0.82796442525206193</v>
      </c>
    </row>
    <row r="75" spans="1:13" x14ac:dyDescent="0.3">
      <c r="A75" s="20" t="s">
        <v>152</v>
      </c>
      <c r="B75" s="20">
        <v>949</v>
      </c>
      <c r="C75" s="24">
        <v>0.76975763962065336</v>
      </c>
      <c r="D75" s="24">
        <v>0.17562248185673229</v>
      </c>
      <c r="E75" s="24">
        <v>0.22815295726494039</v>
      </c>
      <c r="F75" s="24">
        <v>0.97154899894625923</v>
      </c>
      <c r="G75" s="24">
        <v>7.0482993027755278E-2</v>
      </c>
      <c r="H75" s="24">
        <v>7.2547028615335962E-2</v>
      </c>
      <c r="I75" s="24">
        <v>1.4541622760800841</v>
      </c>
      <c r="J75" s="24">
        <v>6.4494902339113369E-2</v>
      </c>
      <c r="K75" s="24">
        <v>4.4351929217259847E-2</v>
      </c>
      <c r="L75" s="20" t="s">
        <v>501</v>
      </c>
      <c r="M75" s="21">
        <f t="shared" si="1"/>
        <v>0.34505191509753619</v>
      </c>
    </row>
    <row r="76" spans="1:13" x14ac:dyDescent="0.3">
      <c r="A76" s="20" t="s">
        <v>154</v>
      </c>
      <c r="B76" s="20">
        <v>353</v>
      </c>
      <c r="C76" s="24">
        <v>0.73371104815864019</v>
      </c>
      <c r="D76" s="24">
        <v>0.1068568304851889</v>
      </c>
      <c r="E76" s="24">
        <v>0.1456388461825161</v>
      </c>
      <c r="F76" s="24">
        <v>0.95184135977337114</v>
      </c>
      <c r="G76" s="24">
        <v>6.5315741473949765E-2</v>
      </c>
      <c r="H76" s="24">
        <v>6.8620406965191269E-2</v>
      </c>
      <c r="I76" s="24">
        <v>1.339943342776204</v>
      </c>
      <c r="J76" s="24">
        <v>9.0498490467179407E-2</v>
      </c>
      <c r="K76" s="24">
        <v>6.7539042568529245E-2</v>
      </c>
      <c r="L76" s="20" t="s">
        <v>502</v>
      </c>
      <c r="M76" s="21">
        <f t="shared" si="1"/>
        <v>0.2817982957162366</v>
      </c>
    </row>
    <row r="77" spans="1:13" x14ac:dyDescent="0.3">
      <c r="A77" s="20" t="s">
        <v>156</v>
      </c>
      <c r="B77" s="20">
        <v>45</v>
      </c>
      <c r="C77" s="24">
        <v>1.044444444444445</v>
      </c>
      <c r="D77" s="24">
        <v>0.3049841520940092</v>
      </c>
      <c r="E77" s="24">
        <v>0.2920061030687322</v>
      </c>
      <c r="F77" s="24">
        <v>1.244444444444444</v>
      </c>
      <c r="G77" s="24">
        <v>0.40106062706443002</v>
      </c>
      <c r="H77" s="24">
        <v>0.32228086103391701</v>
      </c>
      <c r="I77" s="24">
        <v>1.944444444444444</v>
      </c>
      <c r="J77" s="24">
        <v>0.58000257529556665</v>
      </c>
      <c r="K77" s="24">
        <v>0.29828703872343432</v>
      </c>
      <c r="L77" s="20" t="s">
        <v>500</v>
      </c>
      <c r="M77" s="21">
        <f t="shared" si="1"/>
        <v>0.91257400282608347</v>
      </c>
    </row>
    <row r="78" spans="1:13" x14ac:dyDescent="0.3">
      <c r="A78" s="20" t="s">
        <v>158</v>
      </c>
      <c r="B78" s="20">
        <v>184.5</v>
      </c>
      <c r="C78" s="24">
        <v>0.68834688346883466</v>
      </c>
      <c r="D78" s="24">
        <v>0.19124567011792709</v>
      </c>
      <c r="E78" s="24">
        <v>0.27783327666738222</v>
      </c>
      <c r="F78" s="24">
        <v>0.94579945799457998</v>
      </c>
      <c r="G78" s="24">
        <v>3.3430871449841318E-2</v>
      </c>
      <c r="H78" s="24">
        <v>3.5346680701981222E-2</v>
      </c>
      <c r="I78" s="24">
        <v>1.6747967479674799</v>
      </c>
      <c r="J78" s="24">
        <v>0.13791976144737161</v>
      </c>
      <c r="K78" s="24">
        <v>8.2350148825372338E-2</v>
      </c>
      <c r="L78" s="20" t="s">
        <v>501</v>
      </c>
      <c r="M78" s="21">
        <f t="shared" si="1"/>
        <v>0.39553010619473578</v>
      </c>
    </row>
    <row r="79" spans="1:13" x14ac:dyDescent="0.3">
      <c r="A79" s="20" t="s">
        <v>160</v>
      </c>
      <c r="B79" s="20">
        <v>471</v>
      </c>
      <c r="C79" s="24">
        <v>0.85668789808917201</v>
      </c>
      <c r="D79" s="24">
        <v>0.1596729119090767</v>
      </c>
      <c r="E79" s="24">
        <v>0.186383993826952</v>
      </c>
      <c r="F79" s="24">
        <v>0.8715498938428875</v>
      </c>
      <c r="G79" s="24">
        <v>2.2830669706321059E-2</v>
      </c>
      <c r="H79" s="24">
        <v>2.619548217217349E-2</v>
      </c>
      <c r="I79" s="24">
        <v>1.1921443736730359</v>
      </c>
      <c r="J79" s="24">
        <v>0.13199225463209791</v>
      </c>
      <c r="K79" s="24">
        <v>0.11071834716245441</v>
      </c>
      <c r="L79" s="20" t="s">
        <v>501</v>
      </c>
      <c r="M79" s="21">
        <f t="shared" si="1"/>
        <v>0.3232978231615799</v>
      </c>
    </row>
    <row r="80" spans="1:13" x14ac:dyDescent="0.3">
      <c r="A80" s="20" t="s">
        <v>162</v>
      </c>
      <c r="B80" s="20">
        <v>81</v>
      </c>
      <c r="C80" s="24">
        <v>0.85185185185185186</v>
      </c>
      <c r="D80" s="24">
        <v>0.11634048129065069</v>
      </c>
      <c r="E80" s="24">
        <v>0.13657360847163341</v>
      </c>
      <c r="F80" s="24">
        <v>0.91975308641975306</v>
      </c>
      <c r="G80" s="24">
        <v>0.13216764936281289</v>
      </c>
      <c r="H80" s="24">
        <v>0.1436990550119174</v>
      </c>
      <c r="I80" s="24">
        <v>1.3888888888888891</v>
      </c>
      <c r="J80" s="24">
        <v>0.19662620534515421</v>
      </c>
      <c r="K80" s="24">
        <v>0.14157086784851111</v>
      </c>
      <c r="L80" s="20" t="s">
        <v>501</v>
      </c>
      <c r="M80" s="21">
        <f t="shared" si="1"/>
        <v>0.42184353133206198</v>
      </c>
    </row>
    <row r="81" spans="1:13" x14ac:dyDescent="0.3">
      <c r="A81" s="20" t="s">
        <v>164</v>
      </c>
      <c r="B81" s="20">
        <v>956</v>
      </c>
      <c r="C81" s="24">
        <v>0.8603556485355649</v>
      </c>
      <c r="D81" s="24">
        <v>0.15276258814344501</v>
      </c>
      <c r="E81" s="24">
        <v>0.17755748846824729</v>
      </c>
      <c r="F81" s="24">
        <v>0.99372384937238489</v>
      </c>
      <c r="G81" s="24">
        <v>0.11528092300490581</v>
      </c>
      <c r="H81" s="24">
        <v>0.1160090130449368</v>
      </c>
      <c r="I81" s="24">
        <v>1.581066945606695</v>
      </c>
      <c r="J81" s="24">
        <v>0.13845456750221211</v>
      </c>
      <c r="K81" s="24">
        <v>8.7570338426804326E-2</v>
      </c>
      <c r="L81" s="20" t="s">
        <v>501</v>
      </c>
      <c r="M81" s="21">
        <f t="shared" si="1"/>
        <v>0.38113683993998843</v>
      </c>
    </row>
    <row r="82" spans="1:13" x14ac:dyDescent="0.3">
      <c r="A82" s="20" t="s">
        <v>166</v>
      </c>
      <c r="B82" s="20">
        <v>27</v>
      </c>
      <c r="C82" s="24">
        <v>0.72222222222222221</v>
      </c>
      <c r="D82" s="24">
        <v>0.18815632081735531</v>
      </c>
      <c r="E82" s="24">
        <v>0.26052413651633799</v>
      </c>
      <c r="F82" s="24">
        <v>1</v>
      </c>
      <c r="G82" s="24">
        <v>0.26189140043946202</v>
      </c>
      <c r="H82" s="24">
        <v>0.26189140043946202</v>
      </c>
      <c r="I82" s="24">
        <v>1.2962962962962961</v>
      </c>
      <c r="J82" s="24">
        <v>0.47334843235319302</v>
      </c>
      <c r="K82" s="24">
        <v>0.36515450495817742</v>
      </c>
      <c r="L82" s="20" t="s">
        <v>500</v>
      </c>
      <c r="M82" s="21">
        <f t="shared" si="1"/>
        <v>0.88757004191397737</v>
      </c>
    </row>
    <row r="83" spans="1:13" x14ac:dyDescent="0.3">
      <c r="A83" s="20" t="s">
        <v>168</v>
      </c>
      <c r="B83" s="20">
        <v>1020.5</v>
      </c>
      <c r="C83" s="24">
        <v>0.80450759431651153</v>
      </c>
      <c r="D83" s="24">
        <v>0.2406544516851726</v>
      </c>
      <c r="E83" s="24">
        <v>0.29913260407395692</v>
      </c>
      <c r="F83" s="24">
        <v>1.0004899559039691</v>
      </c>
      <c r="G83" s="24">
        <v>0.1176977814669504</v>
      </c>
      <c r="H83" s="24">
        <v>0.11764014298435151</v>
      </c>
      <c r="I83" s="24">
        <v>1.288094071533562</v>
      </c>
      <c r="J83" s="24">
        <v>0.15423930692252599</v>
      </c>
      <c r="K83" s="24">
        <v>0.11974226908667759</v>
      </c>
      <c r="L83" s="20" t="s">
        <v>498</v>
      </c>
      <c r="M83" s="21">
        <f t="shared" si="1"/>
        <v>0.53651501614498598</v>
      </c>
    </row>
    <row r="84" spans="1:13" x14ac:dyDescent="0.3">
      <c r="A84" s="20" t="s">
        <v>170</v>
      </c>
      <c r="B84" s="20">
        <v>1034</v>
      </c>
      <c r="C84" s="24">
        <v>1.169729206963249</v>
      </c>
      <c r="D84" s="24">
        <v>0.1509370412153295</v>
      </c>
      <c r="E84" s="24">
        <v>0.12903588310595351</v>
      </c>
      <c r="F84" s="24">
        <v>1.0101547388781431</v>
      </c>
      <c r="G84" s="24">
        <v>5.5971347228814673E-2</v>
      </c>
      <c r="H84" s="24">
        <v>5.5408686485968757E-2</v>
      </c>
      <c r="I84" s="24">
        <v>1.5705996131528051</v>
      </c>
      <c r="J84" s="24">
        <v>0.18489088717293631</v>
      </c>
      <c r="K84" s="24">
        <v>0.1177199367837538</v>
      </c>
      <c r="L84" s="20" t="s">
        <v>501</v>
      </c>
      <c r="M84" s="21">
        <f t="shared" si="1"/>
        <v>0.30216450637567605</v>
      </c>
    </row>
    <row r="85" spans="1:13" x14ac:dyDescent="0.3">
      <c r="A85" s="20" t="s">
        <v>172</v>
      </c>
      <c r="B85" s="20">
        <v>7.5</v>
      </c>
      <c r="C85" s="24">
        <v>1.0666666666666671</v>
      </c>
      <c r="D85" s="24">
        <v>0.27598532793351149</v>
      </c>
      <c r="E85" s="24">
        <v>0.25873624493766711</v>
      </c>
      <c r="F85" s="24">
        <v>0.8666666666666667</v>
      </c>
      <c r="G85" s="24">
        <v>0.47022978359810008</v>
      </c>
      <c r="H85" s="24">
        <v>0.54257282722857703</v>
      </c>
      <c r="I85" s="24">
        <v>1.333333333333333</v>
      </c>
      <c r="J85" s="24">
        <v>0.1602467233539551</v>
      </c>
      <c r="K85" s="24">
        <v>0.1201850425154663</v>
      </c>
      <c r="L85" s="20" t="s">
        <v>500</v>
      </c>
      <c r="M85" s="21">
        <f t="shared" si="1"/>
        <v>0.92149411468171039</v>
      </c>
    </row>
    <row r="86" spans="1:13" x14ac:dyDescent="0.3">
      <c r="A86" s="20" t="s">
        <v>174</v>
      </c>
      <c r="B86" s="20">
        <v>101</v>
      </c>
      <c r="C86" s="24">
        <v>0.93069306930693074</v>
      </c>
      <c r="D86" s="24">
        <v>0.24820989501002291</v>
      </c>
      <c r="E86" s="24">
        <v>0.2666936105958756</v>
      </c>
      <c r="F86" s="24">
        <v>0.91584158415841588</v>
      </c>
      <c r="G86" s="24">
        <v>5.7395915119067317E-2</v>
      </c>
      <c r="H86" s="24">
        <v>6.2670134346224857E-2</v>
      </c>
      <c r="I86" s="24">
        <v>1.128712871287129</v>
      </c>
      <c r="J86" s="24">
        <v>9.1869222389612093E-2</v>
      </c>
      <c r="K86" s="24">
        <v>8.1392907555708965E-2</v>
      </c>
      <c r="L86" s="20" t="s">
        <v>501</v>
      </c>
      <c r="M86" s="21">
        <f t="shared" si="1"/>
        <v>0.41075665249780946</v>
      </c>
    </row>
    <row r="87" spans="1:13" x14ac:dyDescent="0.3">
      <c r="A87" s="20" t="s">
        <v>176</v>
      </c>
      <c r="B87" s="20">
        <v>146</v>
      </c>
      <c r="C87" s="24">
        <v>0.81164383561643838</v>
      </c>
      <c r="D87" s="24">
        <v>0.11315034613781701</v>
      </c>
      <c r="E87" s="24">
        <v>0.13940886528372401</v>
      </c>
      <c r="F87" s="24">
        <v>0.8047945205479452</v>
      </c>
      <c r="G87" s="24">
        <v>0.1131480509453912</v>
      </c>
      <c r="H87" s="24">
        <v>0.14059247181299681</v>
      </c>
      <c r="I87" s="24">
        <v>0.95890410958904104</v>
      </c>
      <c r="J87" s="24">
        <v>4.8392966462195729E-2</v>
      </c>
      <c r="K87" s="24">
        <v>5.0466950739146983E-2</v>
      </c>
      <c r="L87" s="20" t="s">
        <v>501</v>
      </c>
      <c r="M87" s="21">
        <f t="shared" si="1"/>
        <v>0.33046828783586779</v>
      </c>
    </row>
    <row r="88" spans="1:13" x14ac:dyDescent="0.3">
      <c r="A88" s="20" t="s">
        <v>178</v>
      </c>
      <c r="B88" s="20">
        <v>18</v>
      </c>
      <c r="C88" s="24">
        <v>1</v>
      </c>
      <c r="D88" s="24">
        <v>0.31426968052735438</v>
      </c>
      <c r="E88" s="24">
        <v>0.31426968052735438</v>
      </c>
      <c r="F88" s="24">
        <v>1.0277777777777779</v>
      </c>
      <c r="G88" s="24">
        <v>0.26730961015030402</v>
      </c>
      <c r="H88" s="24">
        <v>0.2600850260921877</v>
      </c>
      <c r="I88" s="24">
        <v>1.0277777777777779</v>
      </c>
      <c r="J88" s="24">
        <v>0.23007805014861579</v>
      </c>
      <c r="K88" s="24">
        <v>0.22385972446892349</v>
      </c>
      <c r="L88" s="20" t="s">
        <v>500</v>
      </c>
      <c r="M88" s="21">
        <f t="shared" si="1"/>
        <v>0.79821443108846557</v>
      </c>
    </row>
    <row r="89" spans="1:13" x14ac:dyDescent="0.3">
      <c r="A89" s="20" t="s">
        <v>180</v>
      </c>
      <c r="B89" s="20">
        <v>6.5</v>
      </c>
      <c r="C89" s="24">
        <v>1.846153846153846</v>
      </c>
      <c r="D89" s="24">
        <v>0.4828924440971164</v>
      </c>
      <c r="E89" s="24">
        <v>0.2615667405526047</v>
      </c>
      <c r="F89" s="24">
        <v>2.307692307692307</v>
      </c>
      <c r="G89" s="24">
        <v>0.64047617172709148</v>
      </c>
      <c r="H89" s="24">
        <v>0.27753967441507299</v>
      </c>
      <c r="I89" s="24">
        <v>2.2307692307692308</v>
      </c>
      <c r="J89" s="24">
        <v>0.18805027907775981</v>
      </c>
      <c r="K89" s="24">
        <v>8.4298400965892334E-2</v>
      </c>
      <c r="L89" s="20" t="s">
        <v>499</v>
      </c>
      <c r="M89" s="21">
        <f t="shared" si="1"/>
        <v>0.62340481593357</v>
      </c>
    </row>
    <row r="90" spans="1:13" x14ac:dyDescent="0.3">
      <c r="A90" s="20" t="s">
        <v>182</v>
      </c>
      <c r="B90" s="20">
        <v>6.5</v>
      </c>
      <c r="C90" s="24">
        <v>1.153846153846154</v>
      </c>
      <c r="D90" s="24">
        <v>0.85079621930605487</v>
      </c>
      <c r="E90" s="24">
        <v>0.73735672339858094</v>
      </c>
      <c r="F90" s="24">
        <v>1.538461538461539</v>
      </c>
      <c r="G90" s="24">
        <v>0.32966599472625141</v>
      </c>
      <c r="H90" s="24">
        <v>0.2142828965720634</v>
      </c>
      <c r="I90" s="24">
        <v>2.4615384615384621</v>
      </c>
      <c r="J90" s="24">
        <v>0.36128609520647931</v>
      </c>
      <c r="K90" s="24">
        <v>0.1467724761776322</v>
      </c>
      <c r="L90" s="20" t="s">
        <v>500</v>
      </c>
      <c r="M90" s="21">
        <f t="shared" si="1"/>
        <v>1.0984120961482764</v>
      </c>
    </row>
    <row r="91" spans="1:13" x14ac:dyDescent="0.3">
      <c r="A91" s="20" t="s">
        <v>184</v>
      </c>
      <c r="B91" s="20">
        <v>19.5</v>
      </c>
      <c r="C91" s="24">
        <v>0.76923076923076927</v>
      </c>
      <c r="D91" s="24">
        <v>0.36891538984578109</v>
      </c>
      <c r="E91" s="24">
        <v>0.47959000679951541</v>
      </c>
      <c r="F91" s="24">
        <v>1.025641025641026</v>
      </c>
      <c r="G91" s="24">
        <v>0.4586881498362696</v>
      </c>
      <c r="H91" s="24">
        <v>0.44722094609036289</v>
      </c>
      <c r="I91" s="24">
        <v>1.384615384615385</v>
      </c>
      <c r="J91" s="24">
        <v>0.61220287059523393</v>
      </c>
      <c r="K91" s="24">
        <v>0.44214651765211338</v>
      </c>
      <c r="L91" s="20" t="s">
        <v>500</v>
      </c>
      <c r="M91" s="21">
        <f t="shared" si="1"/>
        <v>1.3689574705419916</v>
      </c>
    </row>
    <row r="92" spans="1:13" x14ac:dyDescent="0.3">
      <c r="A92" s="20" t="s">
        <v>186</v>
      </c>
      <c r="B92" s="20">
        <v>21</v>
      </c>
      <c r="C92" s="24">
        <v>0.97619047619047616</v>
      </c>
      <c r="D92" s="24">
        <v>0.4074224822164712</v>
      </c>
      <c r="E92" s="24">
        <v>0.41735961592906812</v>
      </c>
      <c r="F92" s="24">
        <v>1.30952380952381</v>
      </c>
      <c r="G92" s="24">
        <v>0.13439081169081291</v>
      </c>
      <c r="H92" s="24">
        <v>0.1026257107457117</v>
      </c>
      <c r="I92" s="24">
        <v>2.0952380952380949</v>
      </c>
      <c r="J92" s="24">
        <v>0.48653064606404223</v>
      </c>
      <c r="K92" s="24">
        <v>0.23220780834874741</v>
      </c>
      <c r="L92" s="20" t="s">
        <v>500</v>
      </c>
      <c r="M92" s="21">
        <f t="shared" si="1"/>
        <v>0.75219313502352725</v>
      </c>
    </row>
    <row r="93" spans="1:13" x14ac:dyDescent="0.3">
      <c r="A93" s="20" t="s">
        <v>188</v>
      </c>
      <c r="B93" s="20">
        <v>2644</v>
      </c>
      <c r="C93" s="24">
        <v>0.99602874432677757</v>
      </c>
      <c r="D93" s="24">
        <v>0.17240471531252349</v>
      </c>
      <c r="E93" s="24">
        <v>0.17309210832971789</v>
      </c>
      <c r="F93" s="24">
        <v>0.98354765506807862</v>
      </c>
      <c r="G93" s="24">
        <v>8.3394740680905313E-2</v>
      </c>
      <c r="H93" s="24">
        <v>8.4789730575010061E-2</v>
      </c>
      <c r="I93" s="24">
        <v>1.461232980332829</v>
      </c>
      <c r="J93" s="24">
        <v>0.11841903808133181</v>
      </c>
      <c r="K93" s="24">
        <v>8.1040490924560935E-2</v>
      </c>
      <c r="L93" s="20" t="s">
        <v>501</v>
      </c>
      <c r="M93" s="21">
        <f t="shared" si="1"/>
        <v>0.33892232982928888</v>
      </c>
    </row>
    <row r="94" spans="1:13" x14ac:dyDescent="0.3">
      <c r="A94" s="20" t="s">
        <v>190</v>
      </c>
      <c r="B94" s="20">
        <v>9.5</v>
      </c>
      <c r="C94" s="24">
        <v>0.52631578947368418</v>
      </c>
      <c r="D94" s="24">
        <v>0.17396474756905911</v>
      </c>
      <c r="E94" s="24">
        <v>0.33053302038121218</v>
      </c>
      <c r="F94" s="24">
        <v>0.57894736842105265</v>
      </c>
      <c r="G94" s="24">
        <v>0.21941436397022551</v>
      </c>
      <c r="H94" s="24">
        <v>0.3789884468576622</v>
      </c>
      <c r="I94" s="24">
        <v>1.0526315789473679</v>
      </c>
      <c r="J94" s="24">
        <v>0.34792949513811811</v>
      </c>
      <c r="K94" s="24">
        <v>0.33053302038121218</v>
      </c>
      <c r="L94" s="20" t="s">
        <v>500</v>
      </c>
      <c r="M94" s="21">
        <f t="shared" si="1"/>
        <v>1.0400544876200866</v>
      </c>
    </row>
    <row r="95" spans="1:13" x14ac:dyDescent="0.3">
      <c r="A95" s="20" t="s">
        <v>192</v>
      </c>
      <c r="B95" s="20">
        <v>14.5</v>
      </c>
      <c r="C95" s="24">
        <v>0.82758620689655171</v>
      </c>
      <c r="D95" s="24">
        <v>0.27733421616386678</v>
      </c>
      <c r="E95" s="24">
        <v>0.3351121778646724</v>
      </c>
      <c r="F95" s="24">
        <v>0.82758620689655171</v>
      </c>
      <c r="G95" s="24">
        <v>0.20885537933371379</v>
      </c>
      <c r="H95" s="24">
        <v>0.25236691669490419</v>
      </c>
      <c r="I95" s="24">
        <v>1.7586206896551719</v>
      </c>
      <c r="J95" s="24">
        <v>6.9760476308549951E-2</v>
      </c>
      <c r="K95" s="24">
        <v>3.9667721822508793E-2</v>
      </c>
      <c r="L95" s="20" t="s">
        <v>499</v>
      </c>
      <c r="M95" s="21">
        <f t="shared" si="1"/>
        <v>0.62714681638208536</v>
      </c>
    </row>
    <row r="96" spans="1:13" x14ac:dyDescent="0.3">
      <c r="A96" s="20" t="s">
        <v>194</v>
      </c>
      <c r="B96" s="20">
        <v>758</v>
      </c>
      <c r="C96" s="24">
        <v>0.74604221635883905</v>
      </c>
      <c r="D96" s="24">
        <v>0.22494877373023031</v>
      </c>
      <c r="E96" s="24">
        <v>0.30152284790011419</v>
      </c>
      <c r="F96" s="24">
        <v>0.90633245382585748</v>
      </c>
      <c r="G96" s="24">
        <v>9.0705921393706576E-2</v>
      </c>
      <c r="H96" s="24">
        <v>0.1000801869234783</v>
      </c>
      <c r="I96" s="24">
        <v>1.5745382585751979</v>
      </c>
      <c r="J96" s="24">
        <v>8.6481916064532108E-2</v>
      </c>
      <c r="K96" s="24">
        <v>5.4925255447771541E-2</v>
      </c>
      <c r="L96" s="20" t="s">
        <v>498</v>
      </c>
      <c r="M96" s="21">
        <f t="shared" si="1"/>
        <v>0.45652829027136405</v>
      </c>
    </row>
    <row r="97" spans="1:13" x14ac:dyDescent="0.3">
      <c r="A97" s="20" t="s">
        <v>196</v>
      </c>
      <c r="B97" s="20">
        <v>100703</v>
      </c>
      <c r="C97" s="24">
        <v>0.9868176717674747</v>
      </c>
      <c r="D97" s="24">
        <v>0.2070177989863628</v>
      </c>
      <c r="E97" s="24">
        <v>0.20978323038700369</v>
      </c>
      <c r="F97" s="24">
        <v>0.91516638034616649</v>
      </c>
      <c r="G97" s="24">
        <v>1.537836488918746E-2</v>
      </c>
      <c r="H97" s="24">
        <v>1.6803900601517409E-2</v>
      </c>
      <c r="I97" s="24">
        <v>1.3176270816162381</v>
      </c>
      <c r="J97" s="24">
        <v>0.30493475494834549</v>
      </c>
      <c r="K97" s="24">
        <v>0.23142720668302</v>
      </c>
      <c r="L97" s="20" t="s">
        <v>498</v>
      </c>
      <c r="M97" s="21">
        <f t="shared" si="1"/>
        <v>0.45801433767154109</v>
      </c>
    </row>
    <row r="98" spans="1:13" x14ac:dyDescent="0.3">
      <c r="A98" s="20" t="s">
        <v>198</v>
      </c>
      <c r="B98" s="20">
        <v>11</v>
      </c>
      <c r="C98" s="24">
        <v>1</v>
      </c>
      <c r="D98" s="24">
        <v>0.12856486930664501</v>
      </c>
      <c r="E98" s="24">
        <v>0.12856486930664501</v>
      </c>
      <c r="F98" s="24">
        <v>1.2727272727272729</v>
      </c>
      <c r="G98" s="24">
        <v>0.11570247933884301</v>
      </c>
      <c r="H98" s="24">
        <v>9.0909090909090912E-2</v>
      </c>
      <c r="I98" s="24">
        <v>1.7272727272727271</v>
      </c>
      <c r="J98" s="24">
        <v>0.24023870832642369</v>
      </c>
      <c r="K98" s="24">
        <v>0.13908556797845581</v>
      </c>
      <c r="L98" s="20" t="s">
        <v>501</v>
      </c>
      <c r="M98" s="21">
        <f t="shared" si="1"/>
        <v>0.35855952819419173</v>
      </c>
    </row>
    <row r="99" spans="1:13" x14ac:dyDescent="0.3">
      <c r="A99" s="20" t="s">
        <v>200</v>
      </c>
      <c r="B99" s="20">
        <v>13.5</v>
      </c>
      <c r="C99" s="24">
        <v>0.70370370370370372</v>
      </c>
      <c r="D99" s="24">
        <v>0.29016804308998101</v>
      </c>
      <c r="E99" s="24">
        <v>0.41234406123313089</v>
      </c>
      <c r="F99" s="24">
        <v>1.1481481481481479</v>
      </c>
      <c r="G99" s="24">
        <v>0.28195891345808588</v>
      </c>
      <c r="H99" s="24">
        <v>0.2455771181731716</v>
      </c>
      <c r="I99" s="24">
        <v>1.074074074074074</v>
      </c>
      <c r="J99" s="24">
        <v>0.27176423533825722</v>
      </c>
      <c r="K99" s="24">
        <v>0.25302187428044631</v>
      </c>
      <c r="L99" s="20" t="s">
        <v>500</v>
      </c>
      <c r="M99" s="21">
        <f t="shared" si="1"/>
        <v>0.91094305368674877</v>
      </c>
    </row>
    <row r="100" spans="1:13" x14ac:dyDescent="0.3">
      <c r="A100" s="20" t="s">
        <v>202</v>
      </c>
      <c r="B100" s="20">
        <v>14</v>
      </c>
      <c r="C100" s="24">
        <v>1.107142857142857</v>
      </c>
      <c r="D100" s="24">
        <v>0.26031660232186149</v>
      </c>
      <c r="E100" s="24">
        <v>0.23512467306490711</v>
      </c>
      <c r="F100" s="24">
        <v>1.357142857142857</v>
      </c>
      <c r="G100" s="24">
        <v>0.36123746085324321</v>
      </c>
      <c r="H100" s="24">
        <v>0.26617497115502131</v>
      </c>
      <c r="I100" s="24">
        <v>1.75</v>
      </c>
      <c r="J100" s="24">
        <v>0.49390416735497611</v>
      </c>
      <c r="K100" s="24">
        <v>0.28223095277427213</v>
      </c>
      <c r="L100" s="20" t="s">
        <v>500</v>
      </c>
      <c r="M100" s="21">
        <f t="shared" si="1"/>
        <v>0.78353059699420058</v>
      </c>
    </row>
    <row r="101" spans="1:13" x14ac:dyDescent="0.3">
      <c r="A101" s="20" t="s">
        <v>204</v>
      </c>
      <c r="B101" s="20">
        <v>42</v>
      </c>
      <c r="C101" s="24">
        <v>1.0238095238095239</v>
      </c>
      <c r="D101" s="24">
        <v>0.15388206872543889</v>
      </c>
      <c r="E101" s="24">
        <v>0.15030341596438221</v>
      </c>
      <c r="F101" s="24">
        <v>0.80952380952380953</v>
      </c>
      <c r="G101" s="24">
        <v>0.1051002673483654</v>
      </c>
      <c r="H101" s="24">
        <v>0.12982974201856901</v>
      </c>
      <c r="I101" s="24">
        <v>1.321428571428571</v>
      </c>
      <c r="J101" s="24">
        <v>0.13081979329001489</v>
      </c>
      <c r="K101" s="24">
        <v>9.8998762489740974E-2</v>
      </c>
      <c r="L101" s="20" t="s">
        <v>501</v>
      </c>
      <c r="M101" s="21">
        <f t="shared" si="1"/>
        <v>0.37913192047269223</v>
      </c>
    </row>
    <row r="102" spans="1:13" x14ac:dyDescent="0.3">
      <c r="A102" s="20" t="s">
        <v>206</v>
      </c>
      <c r="B102" s="20">
        <v>236.5</v>
      </c>
      <c r="C102" s="24">
        <v>1.021141649048626</v>
      </c>
      <c r="D102" s="24">
        <v>0.25741234659056339</v>
      </c>
      <c r="E102" s="24">
        <v>0.25208289842098658</v>
      </c>
      <c r="F102" s="24">
        <v>0.95348837209302328</v>
      </c>
      <c r="G102" s="24">
        <v>6.9190178375947042E-2</v>
      </c>
      <c r="H102" s="24">
        <v>7.2565309028432265E-2</v>
      </c>
      <c r="I102" s="24">
        <v>1.5792811839323471</v>
      </c>
      <c r="J102" s="24">
        <v>0.120435172600102</v>
      </c>
      <c r="K102" s="24">
        <v>7.6259486800332357E-2</v>
      </c>
      <c r="L102" s="20" t="s">
        <v>501</v>
      </c>
      <c r="M102" s="21">
        <f t="shared" si="1"/>
        <v>0.4009076942497512</v>
      </c>
    </row>
    <row r="103" spans="1:13" x14ac:dyDescent="0.3">
      <c r="A103" s="20" t="s">
        <v>208</v>
      </c>
      <c r="B103" s="20">
        <v>9</v>
      </c>
      <c r="C103" s="24">
        <v>0.72222222222222221</v>
      </c>
      <c r="D103" s="24">
        <v>0.50639862474058472</v>
      </c>
      <c r="E103" s="24">
        <v>0.70116732656388658</v>
      </c>
      <c r="F103" s="24">
        <v>0.3888888888888889</v>
      </c>
      <c r="G103" s="24">
        <v>7.0381199080193704E-2</v>
      </c>
      <c r="H103" s="24">
        <v>0.1809802262062124</v>
      </c>
      <c r="I103" s="24">
        <v>0.66666666666666663</v>
      </c>
      <c r="J103" s="24">
        <v>7.407407407407407E-2</v>
      </c>
      <c r="K103" s="24">
        <v>0.1111111111111111</v>
      </c>
      <c r="L103" s="20" t="s">
        <v>500</v>
      </c>
      <c r="M103" s="21">
        <f t="shared" si="1"/>
        <v>0.9932586638812102</v>
      </c>
    </row>
    <row r="104" spans="1:13" x14ac:dyDescent="0.3">
      <c r="A104" s="20" t="s">
        <v>210</v>
      </c>
      <c r="B104" s="20">
        <v>1783</v>
      </c>
      <c r="C104" s="24">
        <v>0.79360628154795287</v>
      </c>
      <c r="D104" s="24">
        <v>0.2340135663857254</v>
      </c>
      <c r="E104" s="24">
        <v>0.29487363170724268</v>
      </c>
      <c r="F104" s="24">
        <v>0.96578799775658997</v>
      </c>
      <c r="G104" s="24">
        <v>0.1656243768225924</v>
      </c>
      <c r="H104" s="24">
        <v>0.17149144243593631</v>
      </c>
      <c r="I104" s="24">
        <v>1.617498597868761</v>
      </c>
      <c r="J104" s="24">
        <v>0.26483886706358112</v>
      </c>
      <c r="K104" s="24">
        <v>0.16373359915893379</v>
      </c>
      <c r="L104" s="20" t="s">
        <v>499</v>
      </c>
      <c r="M104" s="21">
        <f t="shared" si="1"/>
        <v>0.63009867330211278</v>
      </c>
    </row>
    <row r="105" spans="1:13" x14ac:dyDescent="0.3">
      <c r="A105" s="20" t="s">
        <v>212</v>
      </c>
      <c r="B105" s="20">
        <v>536</v>
      </c>
      <c r="C105" s="24">
        <v>0.80037313432835822</v>
      </c>
      <c r="D105" s="24">
        <v>0.14720449718420939</v>
      </c>
      <c r="E105" s="24">
        <v>0.18391983797374409</v>
      </c>
      <c r="F105" s="24">
        <v>0.86567164179104472</v>
      </c>
      <c r="G105" s="24">
        <v>0.1239038776045009</v>
      </c>
      <c r="H105" s="24">
        <v>0.14313034137071651</v>
      </c>
      <c r="I105" s="24">
        <v>1.5587686567164181</v>
      </c>
      <c r="J105" s="24">
        <v>0.16721326791880889</v>
      </c>
      <c r="K105" s="24">
        <v>0.1072726649963873</v>
      </c>
      <c r="L105" s="20" t="s">
        <v>501</v>
      </c>
      <c r="M105" s="21">
        <f t="shared" si="1"/>
        <v>0.43432284434084789</v>
      </c>
    </row>
    <row r="106" spans="1:13" x14ac:dyDescent="0.3">
      <c r="A106" s="20" t="s">
        <v>214</v>
      </c>
      <c r="B106" s="20">
        <v>158.5</v>
      </c>
      <c r="C106" s="24">
        <v>0.91482649842271291</v>
      </c>
      <c r="D106" s="24">
        <v>0.26412105137669628</v>
      </c>
      <c r="E106" s="24">
        <v>0.28871163202211292</v>
      </c>
      <c r="F106" s="24">
        <v>0.95899053627760256</v>
      </c>
      <c r="G106" s="24">
        <v>0.11575328041821741</v>
      </c>
      <c r="H106" s="24">
        <v>0.1207032562255754</v>
      </c>
      <c r="I106" s="24">
        <v>1.6214511041009461</v>
      </c>
      <c r="J106" s="24">
        <v>0.1403915417692487</v>
      </c>
      <c r="K106" s="24">
        <v>8.6583888600879053E-2</v>
      </c>
      <c r="L106" s="20" t="s">
        <v>498</v>
      </c>
      <c r="M106" s="21">
        <f t="shared" si="1"/>
        <v>0.49599877684856741</v>
      </c>
    </row>
    <row r="107" spans="1:13" x14ac:dyDescent="0.3">
      <c r="A107" s="20" t="s">
        <v>216</v>
      </c>
      <c r="B107" s="20">
        <v>1015.5</v>
      </c>
      <c r="C107" s="24">
        <v>0.86656819300837029</v>
      </c>
      <c r="D107" s="24">
        <v>0.30832713821204571</v>
      </c>
      <c r="E107" s="24">
        <v>0.35580251006174141</v>
      </c>
      <c r="F107" s="24">
        <v>0.99261447562776961</v>
      </c>
      <c r="G107" s="24">
        <v>0.10945892163492101</v>
      </c>
      <c r="H107" s="24">
        <v>0.1102733481351808</v>
      </c>
      <c r="I107" s="24">
        <v>1.5160019694731659</v>
      </c>
      <c r="J107" s="24">
        <v>0.1508146439224228</v>
      </c>
      <c r="K107" s="24">
        <v>9.9481825854641326E-2</v>
      </c>
      <c r="L107" s="20" t="s">
        <v>499</v>
      </c>
      <c r="M107" s="21">
        <f t="shared" si="1"/>
        <v>0.56555768405156348</v>
      </c>
    </row>
    <row r="108" spans="1:13" x14ac:dyDescent="0.3">
      <c r="A108" s="20" t="s">
        <v>218</v>
      </c>
      <c r="B108" s="20">
        <v>891</v>
      </c>
      <c r="C108" s="24">
        <v>0.95566778900112237</v>
      </c>
      <c r="D108" s="24">
        <v>0.16696232646937981</v>
      </c>
      <c r="E108" s="24">
        <v>0.17470749604723121</v>
      </c>
      <c r="F108" s="24">
        <v>0.888327721661055</v>
      </c>
      <c r="G108" s="24">
        <v>3.9879430078227009E-2</v>
      </c>
      <c r="H108" s="24">
        <v>4.4892700189134889E-2</v>
      </c>
      <c r="I108" s="24">
        <v>1.2059483726150391</v>
      </c>
      <c r="J108" s="24">
        <v>0.26019576753836582</v>
      </c>
      <c r="K108" s="24">
        <v>0.21576028746085049</v>
      </c>
      <c r="L108" s="20" t="s">
        <v>501</v>
      </c>
      <c r="M108" s="21">
        <f t="shared" si="1"/>
        <v>0.43536048369721658</v>
      </c>
    </row>
    <row r="109" spans="1:13" x14ac:dyDescent="0.3">
      <c r="A109" s="20" t="s">
        <v>220</v>
      </c>
      <c r="B109" s="20">
        <v>8680</v>
      </c>
      <c r="C109" s="24">
        <v>0.80846774193548387</v>
      </c>
      <c r="D109" s="24">
        <v>0.13253001916540949</v>
      </c>
      <c r="E109" s="24">
        <v>0.16392740525197791</v>
      </c>
      <c r="F109" s="24">
        <v>0.94487327188940096</v>
      </c>
      <c r="G109" s="24">
        <v>0.12266368086649621</v>
      </c>
      <c r="H109" s="24">
        <v>0.12982024628679961</v>
      </c>
      <c r="I109" s="24">
        <v>1.6544354838709681</v>
      </c>
      <c r="J109" s="24">
        <v>0.27229808115034809</v>
      </c>
      <c r="K109" s="24">
        <v>0.16458670271822159</v>
      </c>
      <c r="L109" s="20" t="s">
        <v>498</v>
      </c>
      <c r="M109" s="21">
        <f t="shared" si="1"/>
        <v>0.45833435425699909</v>
      </c>
    </row>
    <row r="110" spans="1:13" x14ac:dyDescent="0.3">
      <c r="A110" s="20" t="s">
        <v>222</v>
      </c>
      <c r="B110" s="20">
        <v>211.5</v>
      </c>
      <c r="C110" s="24">
        <v>0.91489361702127658</v>
      </c>
      <c r="D110" s="24">
        <v>0.22230648998752831</v>
      </c>
      <c r="E110" s="24">
        <v>0.24298616347474031</v>
      </c>
      <c r="F110" s="24">
        <v>1.0165484633569739</v>
      </c>
      <c r="G110" s="24">
        <v>0.17309685050731591</v>
      </c>
      <c r="H110" s="24">
        <v>0.17027899480138281</v>
      </c>
      <c r="I110" s="24">
        <v>1.761229314420804</v>
      </c>
      <c r="J110" s="24">
        <v>0.38792888324636388</v>
      </c>
      <c r="K110" s="24">
        <v>0.220260292098271</v>
      </c>
      <c r="L110" s="20" t="s">
        <v>499</v>
      </c>
      <c r="M110" s="21">
        <f t="shared" si="1"/>
        <v>0.63352545037439412</v>
      </c>
    </row>
    <row r="111" spans="1:13" x14ac:dyDescent="0.3">
      <c r="A111" s="20" t="s">
        <v>224</v>
      </c>
      <c r="B111" s="20">
        <v>217.5</v>
      </c>
      <c r="C111" s="24">
        <v>1.0413793103448279</v>
      </c>
      <c r="D111" s="24">
        <v>0.23249224742777899</v>
      </c>
      <c r="E111" s="24">
        <v>0.2232541448809798</v>
      </c>
      <c r="F111" s="24">
        <v>0.95862068965517244</v>
      </c>
      <c r="G111" s="24">
        <v>2.3440819263556571E-2</v>
      </c>
      <c r="H111" s="24">
        <v>2.445265318860217E-2</v>
      </c>
      <c r="I111" s="24">
        <v>1.4045977011494251</v>
      </c>
      <c r="J111" s="24">
        <v>0.29699087476513591</v>
      </c>
      <c r="K111" s="24">
        <v>0.2114419484825435</v>
      </c>
      <c r="L111" s="20" t="s">
        <v>498</v>
      </c>
      <c r="M111" s="21">
        <f t="shared" si="1"/>
        <v>0.45914874655212545</v>
      </c>
    </row>
    <row r="112" spans="1:13" x14ac:dyDescent="0.3">
      <c r="A112" s="20" t="s">
        <v>226</v>
      </c>
      <c r="B112" s="20">
        <v>174</v>
      </c>
      <c r="C112" s="24">
        <v>0.91666666666666663</v>
      </c>
      <c r="D112" s="24">
        <v>0.17440842809359711</v>
      </c>
      <c r="E112" s="24">
        <v>0.1902637397384695</v>
      </c>
      <c r="F112" s="24">
        <v>0.8045977011494253</v>
      </c>
      <c r="G112" s="24">
        <v>7.3348731469951342E-2</v>
      </c>
      <c r="H112" s="24">
        <v>9.1161994826939527E-2</v>
      </c>
      <c r="I112" s="24">
        <v>1.2902298850574709</v>
      </c>
      <c r="J112" s="24">
        <v>0.29206090555505132</v>
      </c>
      <c r="K112" s="24">
        <v>0.22636346354823569</v>
      </c>
      <c r="L112" s="20" t="s">
        <v>498</v>
      </c>
      <c r="M112" s="21">
        <f t="shared" si="1"/>
        <v>0.50778919811364476</v>
      </c>
    </row>
    <row r="113" spans="1:13" x14ac:dyDescent="0.3">
      <c r="A113" s="20" t="s">
        <v>228</v>
      </c>
      <c r="B113" s="20">
        <v>15514</v>
      </c>
      <c r="C113" s="24">
        <v>0.79163980920458943</v>
      </c>
      <c r="D113" s="24">
        <v>0.21023408569512769</v>
      </c>
      <c r="E113" s="24">
        <v>0.26556785453521242</v>
      </c>
      <c r="F113" s="24">
        <v>1.0002900605904339</v>
      </c>
      <c r="G113" s="24">
        <v>5.2613048588836031E-2</v>
      </c>
      <c r="H113" s="24">
        <v>5.2597792042220717E-2</v>
      </c>
      <c r="I113" s="24">
        <v>1.249000902410726</v>
      </c>
      <c r="J113" s="24">
        <v>0.13586237245857199</v>
      </c>
      <c r="K113" s="24">
        <v>0.1087768409104756</v>
      </c>
      <c r="L113" s="20" t="s">
        <v>501</v>
      </c>
      <c r="M113" s="21">
        <f t="shared" si="1"/>
        <v>0.42694248748790875</v>
      </c>
    </row>
    <row r="114" spans="1:13" x14ac:dyDescent="0.3">
      <c r="A114" s="20" t="s">
        <v>230</v>
      </c>
      <c r="B114" s="20">
        <v>1961</v>
      </c>
      <c r="C114" s="24">
        <v>0.88067312595614478</v>
      </c>
      <c r="D114" s="24">
        <v>0.29956472173065951</v>
      </c>
      <c r="E114" s="24">
        <v>0.34015426711860058</v>
      </c>
      <c r="F114" s="24">
        <v>0.91968383477817439</v>
      </c>
      <c r="G114" s="24">
        <v>1.353056383130964E-2</v>
      </c>
      <c r="H114" s="24">
        <v>1.4712190559023119E-2</v>
      </c>
      <c r="I114" s="24">
        <v>1.4077001529831721</v>
      </c>
      <c r="J114" s="24">
        <v>0.36839761851192798</v>
      </c>
      <c r="K114" s="24">
        <v>0.26170176776014881</v>
      </c>
      <c r="L114" s="20" t="s">
        <v>499</v>
      </c>
      <c r="M114" s="21">
        <f t="shared" si="1"/>
        <v>0.61656822543777245</v>
      </c>
    </row>
    <row r="115" spans="1:13" x14ac:dyDescent="0.3">
      <c r="A115" s="20" t="s">
        <v>232</v>
      </c>
      <c r="B115" s="20">
        <v>14.5</v>
      </c>
      <c r="C115" s="24">
        <v>0.58620689655172409</v>
      </c>
      <c r="D115" s="24">
        <v>6.9760476308549951E-2</v>
      </c>
      <c r="E115" s="24">
        <v>0.1190031654675264</v>
      </c>
      <c r="F115" s="24">
        <v>0.68965517241379315</v>
      </c>
      <c r="G115" s="24">
        <v>0.15528968102082771</v>
      </c>
      <c r="H115" s="24">
        <v>0.22517003748020009</v>
      </c>
      <c r="I115" s="24">
        <v>1.0344827586206899</v>
      </c>
      <c r="J115" s="24">
        <v>0.1273128067949981</v>
      </c>
      <c r="K115" s="24">
        <v>0.12306904656849819</v>
      </c>
      <c r="L115" s="20" t="s">
        <v>498</v>
      </c>
      <c r="M115" s="21">
        <f t="shared" si="1"/>
        <v>0.46724224951622467</v>
      </c>
    </row>
    <row r="116" spans="1:13" x14ac:dyDescent="0.3">
      <c r="A116" s="20" t="s">
        <v>234</v>
      </c>
      <c r="B116" s="20">
        <v>12</v>
      </c>
      <c r="C116" s="24">
        <v>0.66666666666666663</v>
      </c>
      <c r="D116" s="24">
        <v>0.1756820922315766</v>
      </c>
      <c r="E116" s="24">
        <v>0.26352313834736502</v>
      </c>
      <c r="F116" s="24">
        <v>1.041666666666667</v>
      </c>
      <c r="G116" s="24">
        <v>0.30431011964729843</v>
      </c>
      <c r="H116" s="24">
        <v>0.29213771486140649</v>
      </c>
      <c r="I116" s="24">
        <v>0.95833333333333337</v>
      </c>
      <c r="J116" s="24">
        <v>0.14833339835620721</v>
      </c>
      <c r="K116" s="24">
        <v>0.15478267654560751</v>
      </c>
      <c r="L116" s="20" t="s">
        <v>500</v>
      </c>
      <c r="M116" s="21">
        <f t="shared" si="1"/>
        <v>0.71044352975437897</v>
      </c>
    </row>
    <row r="117" spans="1:13" x14ac:dyDescent="0.3">
      <c r="A117" s="20" t="s">
        <v>236</v>
      </c>
      <c r="B117" s="20">
        <v>6.5</v>
      </c>
      <c r="C117" s="24">
        <v>0.84615384615384615</v>
      </c>
      <c r="D117" s="24">
        <v>0.23977277620538229</v>
      </c>
      <c r="E117" s="24">
        <v>0.28336782642454278</v>
      </c>
      <c r="F117" s="24">
        <v>0.92307692307692313</v>
      </c>
      <c r="G117" s="24">
        <v>0.1694416693878858</v>
      </c>
      <c r="H117" s="24">
        <v>0.18356180850354301</v>
      </c>
      <c r="I117" s="24">
        <v>1.2307692307692311</v>
      </c>
      <c r="J117" s="24">
        <v>0.62262468345400734</v>
      </c>
      <c r="K117" s="24">
        <v>0.50588255530638093</v>
      </c>
      <c r="L117" s="20" t="s">
        <v>500</v>
      </c>
      <c r="M117" s="21">
        <f t="shared" si="1"/>
        <v>0.97281219023446674</v>
      </c>
    </row>
    <row r="118" spans="1:13" x14ac:dyDescent="0.3">
      <c r="A118" s="20" t="s">
        <v>238</v>
      </c>
      <c r="B118" s="20">
        <v>1085.5</v>
      </c>
      <c r="C118" s="24">
        <v>0.90833717181022566</v>
      </c>
      <c r="D118" s="24">
        <v>0.2291497657936378</v>
      </c>
      <c r="E118" s="24">
        <v>0.25227390544522699</v>
      </c>
      <c r="F118" s="24">
        <v>1.045601105481345</v>
      </c>
      <c r="G118" s="24">
        <v>5.6379873745251372E-2</v>
      </c>
      <c r="H118" s="24">
        <v>5.3921015815392388E-2</v>
      </c>
      <c r="I118" s="24">
        <v>1.9917088899124831</v>
      </c>
      <c r="J118" s="24">
        <v>0.41486322398511399</v>
      </c>
      <c r="K118" s="24">
        <v>0.20829511083988961</v>
      </c>
      <c r="L118" s="20" t="s">
        <v>498</v>
      </c>
      <c r="M118" s="21">
        <f t="shared" si="1"/>
        <v>0.51449003210050903</v>
      </c>
    </row>
    <row r="119" spans="1:13" x14ac:dyDescent="0.3">
      <c r="A119" s="20" t="s">
        <v>240</v>
      </c>
      <c r="B119" s="20">
        <v>178</v>
      </c>
      <c r="C119" s="24">
        <v>0.797752808988764</v>
      </c>
      <c r="D119" s="24">
        <v>0.19668028305852009</v>
      </c>
      <c r="E119" s="24">
        <v>0.24654289003110269</v>
      </c>
      <c r="F119" s="24">
        <v>1.002808988764045</v>
      </c>
      <c r="G119" s="24">
        <v>2.5901024715272569E-2</v>
      </c>
      <c r="H119" s="24">
        <v>2.5828472825313819E-2</v>
      </c>
      <c r="I119" s="24">
        <v>1.564606741573034</v>
      </c>
      <c r="J119" s="24">
        <v>0.32315327509970981</v>
      </c>
      <c r="K119" s="24">
        <v>0.20653961568311791</v>
      </c>
      <c r="L119" s="20" t="s">
        <v>498</v>
      </c>
      <c r="M119" s="21">
        <f t="shared" si="1"/>
        <v>0.4789109785395344</v>
      </c>
    </row>
    <row r="120" spans="1:13" x14ac:dyDescent="0.3">
      <c r="A120" s="20" t="s">
        <v>242</v>
      </c>
      <c r="B120" s="20">
        <v>220</v>
      </c>
      <c r="C120" s="24">
        <v>0.77954545454545454</v>
      </c>
      <c r="D120" s="24">
        <v>0.11337487005699221</v>
      </c>
      <c r="E120" s="24">
        <v>0.14543715109351771</v>
      </c>
      <c r="F120" s="24">
        <v>0.92954545454545456</v>
      </c>
      <c r="G120" s="24">
        <v>6.2217289702303953E-2</v>
      </c>
      <c r="H120" s="24">
        <v>6.6933025596610601E-2</v>
      </c>
      <c r="I120" s="24">
        <v>1.3272727272727269</v>
      </c>
      <c r="J120" s="24">
        <v>0.1943105795499723</v>
      </c>
      <c r="K120" s="24">
        <v>0.14639838185271881</v>
      </c>
      <c r="L120" s="20" t="s">
        <v>501</v>
      </c>
      <c r="M120" s="21">
        <f t="shared" si="1"/>
        <v>0.35876855854284712</v>
      </c>
    </row>
    <row r="121" spans="1:13" x14ac:dyDescent="0.3">
      <c r="A121" s="20" t="s">
        <v>244</v>
      </c>
      <c r="B121" s="20">
        <v>3157</v>
      </c>
      <c r="C121" s="24">
        <v>0.84510611339879638</v>
      </c>
      <c r="D121" s="24">
        <v>0.16519952982103239</v>
      </c>
      <c r="E121" s="24">
        <v>0.19547785443965501</v>
      </c>
      <c r="F121" s="24">
        <v>0.95042762115932844</v>
      </c>
      <c r="G121" s="24">
        <v>0.14462840105739361</v>
      </c>
      <c r="H121" s="24">
        <v>0.15217192539183191</v>
      </c>
      <c r="I121" s="24">
        <v>1.7256889452011399</v>
      </c>
      <c r="J121" s="24">
        <v>0.27985898227410722</v>
      </c>
      <c r="K121" s="24">
        <v>0.16217232140957349</v>
      </c>
      <c r="L121" s="20" t="s">
        <v>498</v>
      </c>
      <c r="M121" s="21">
        <f t="shared" si="1"/>
        <v>0.50982210124106042</v>
      </c>
    </row>
    <row r="122" spans="1:13" x14ac:dyDescent="0.3">
      <c r="A122" s="20" t="s">
        <v>246</v>
      </c>
      <c r="B122" s="20">
        <v>513</v>
      </c>
      <c r="C122" s="24">
        <v>1.0204678362573101</v>
      </c>
      <c r="D122" s="24">
        <v>0.13755640962516941</v>
      </c>
      <c r="E122" s="24">
        <v>0.1347973985438623</v>
      </c>
      <c r="F122" s="24">
        <v>0.97173489278752434</v>
      </c>
      <c r="G122" s="24">
        <v>1.045176443007664E-2</v>
      </c>
      <c r="H122" s="24">
        <v>1.0755777638173151E-2</v>
      </c>
      <c r="I122" s="24">
        <v>1.5497076023391809</v>
      </c>
      <c r="J122" s="24">
        <v>0.29253807117920499</v>
      </c>
      <c r="K122" s="24">
        <v>0.18876984970431721</v>
      </c>
      <c r="L122" s="20" t="s">
        <v>501</v>
      </c>
      <c r="M122" s="21">
        <f t="shared" si="1"/>
        <v>0.33432302588635265</v>
      </c>
    </row>
    <row r="123" spans="1:13" x14ac:dyDescent="0.3">
      <c r="A123" s="20" t="s">
        <v>248</v>
      </c>
      <c r="B123" s="20">
        <v>170</v>
      </c>
      <c r="C123" s="24">
        <v>0.86764705882352944</v>
      </c>
      <c r="D123" s="24">
        <v>0.23349552052223591</v>
      </c>
      <c r="E123" s="24">
        <v>0.26911348127986512</v>
      </c>
      <c r="F123" s="24">
        <v>1.0323529411764709</v>
      </c>
      <c r="G123" s="24">
        <v>0.1039104508516587</v>
      </c>
      <c r="H123" s="24">
        <v>0.10065399797596571</v>
      </c>
      <c r="I123" s="24">
        <v>1.4441176470588239</v>
      </c>
      <c r="J123" s="24">
        <v>0.3395234829989181</v>
      </c>
      <c r="K123" s="24">
        <v>0.2351079108342814</v>
      </c>
      <c r="L123" s="20" t="s">
        <v>499</v>
      </c>
      <c r="M123" s="21">
        <f t="shared" si="1"/>
        <v>0.60487539009011226</v>
      </c>
    </row>
    <row r="124" spans="1:13" x14ac:dyDescent="0.3">
      <c r="A124" s="20" t="s">
        <v>250</v>
      </c>
      <c r="B124" s="20">
        <v>8</v>
      </c>
      <c r="C124" s="24">
        <v>1.3125</v>
      </c>
      <c r="D124" s="24">
        <v>0.37791833195149449</v>
      </c>
      <c r="E124" s="24">
        <v>0.28793777672494819</v>
      </c>
      <c r="F124" s="24">
        <v>1</v>
      </c>
      <c r="G124" s="24">
        <v>0.45069390943299859</v>
      </c>
      <c r="H124" s="24">
        <v>0.45069390943299859</v>
      </c>
      <c r="I124" s="24">
        <v>1.125</v>
      </c>
      <c r="J124" s="24">
        <v>0.57367374220893186</v>
      </c>
      <c r="K124" s="24">
        <v>0.50993221529682831</v>
      </c>
      <c r="L124" s="20" t="s">
        <v>500</v>
      </c>
      <c r="M124" s="21">
        <f t="shared" si="1"/>
        <v>1.2485639014547751</v>
      </c>
    </row>
    <row r="125" spans="1:13" x14ac:dyDescent="0.3">
      <c r="A125" s="20" t="s">
        <v>252</v>
      </c>
      <c r="B125" s="20">
        <v>6</v>
      </c>
      <c r="C125" s="24">
        <v>1.25</v>
      </c>
      <c r="D125" s="24">
        <v>0.22438186696393769</v>
      </c>
      <c r="E125" s="24">
        <v>0.17950549357115009</v>
      </c>
      <c r="F125" s="24">
        <v>1</v>
      </c>
      <c r="G125" s="24">
        <v>0.37267799624996489</v>
      </c>
      <c r="H125" s="24">
        <v>0.37267799624996489</v>
      </c>
      <c r="I125" s="24">
        <v>0.91666666666666663</v>
      </c>
      <c r="J125" s="24">
        <v>0.44379292524084601</v>
      </c>
      <c r="K125" s="24">
        <v>0.48413773662637749</v>
      </c>
      <c r="L125" s="20" t="s">
        <v>500</v>
      </c>
      <c r="M125" s="21">
        <f t="shared" si="1"/>
        <v>1.0363212264474924</v>
      </c>
    </row>
    <row r="126" spans="1:13" x14ac:dyDescent="0.3">
      <c r="A126" s="20" t="s">
        <v>254</v>
      </c>
      <c r="B126" s="20">
        <v>174</v>
      </c>
      <c r="C126" s="24">
        <v>0.92528735632183912</v>
      </c>
      <c r="D126" s="24">
        <v>0.3186697926304104</v>
      </c>
      <c r="E126" s="24">
        <v>0.34440089389870437</v>
      </c>
      <c r="F126" s="24">
        <v>1.1609195402298851</v>
      </c>
      <c r="G126" s="24">
        <v>0.31801716535327851</v>
      </c>
      <c r="H126" s="24">
        <v>0.27393557807658642</v>
      </c>
      <c r="I126" s="24">
        <v>2.0660919540229878</v>
      </c>
      <c r="J126" s="24">
        <v>0.49778583489628753</v>
      </c>
      <c r="K126" s="24">
        <v>0.24093111341294579</v>
      </c>
      <c r="L126" s="20" t="s">
        <v>500</v>
      </c>
      <c r="M126" s="21">
        <f t="shared" si="1"/>
        <v>0.85926758538823667</v>
      </c>
    </row>
    <row r="127" spans="1:13" x14ac:dyDescent="0.3">
      <c r="A127" s="20" t="s">
        <v>256</v>
      </c>
      <c r="B127" s="20">
        <v>47</v>
      </c>
      <c r="C127" s="24">
        <v>1.308510638297872</v>
      </c>
      <c r="D127" s="24">
        <v>0.41986989025416882</v>
      </c>
      <c r="E127" s="24">
        <v>0.32087617629180382</v>
      </c>
      <c r="F127" s="24">
        <v>1.2765957446808509</v>
      </c>
      <c r="G127" s="24">
        <v>0.32490782906939569</v>
      </c>
      <c r="H127" s="24">
        <v>0.2545111327710266</v>
      </c>
      <c r="I127" s="24">
        <v>2.1382978723404249</v>
      </c>
      <c r="J127" s="24">
        <v>0.54805324536272459</v>
      </c>
      <c r="K127" s="24">
        <v>0.25630350778157268</v>
      </c>
      <c r="L127" s="20" t="s">
        <v>500</v>
      </c>
      <c r="M127" s="21">
        <f t="shared" si="1"/>
        <v>0.83169081684440305</v>
      </c>
    </row>
    <row r="128" spans="1:13" x14ac:dyDescent="0.3">
      <c r="A128" s="20" t="s">
        <v>258</v>
      </c>
      <c r="B128" s="20">
        <v>386</v>
      </c>
      <c r="C128" s="24">
        <v>0.97668393782383423</v>
      </c>
      <c r="D128" s="24">
        <v>0.14764263540664641</v>
      </c>
      <c r="E128" s="24">
        <v>0.1511672606550809</v>
      </c>
      <c r="F128" s="24">
        <v>0.96761658031088082</v>
      </c>
      <c r="G128" s="24">
        <v>0.1018729462687169</v>
      </c>
      <c r="H128" s="24">
        <v>0.10528234875428311</v>
      </c>
      <c r="I128" s="24">
        <v>1.6541450777202069</v>
      </c>
      <c r="J128" s="24">
        <v>0.1211656567499666</v>
      </c>
      <c r="K128" s="24">
        <v>7.3249715748609417E-2</v>
      </c>
      <c r="L128" s="20" t="s">
        <v>501</v>
      </c>
      <c r="M128" s="21">
        <f t="shared" si="1"/>
        <v>0.3296993251579734</v>
      </c>
    </row>
    <row r="129" spans="1:13" x14ac:dyDescent="0.3">
      <c r="A129" s="20" t="s">
        <v>260</v>
      </c>
      <c r="B129" s="20">
        <v>12.5</v>
      </c>
      <c r="C129" s="24">
        <v>0.92</v>
      </c>
      <c r="D129" s="24">
        <v>0.4415362272792574</v>
      </c>
      <c r="E129" s="24">
        <v>0.47993068182527981</v>
      </c>
      <c r="F129" s="24">
        <v>0.84</v>
      </c>
      <c r="G129" s="24">
        <v>0.1246152478631728</v>
      </c>
      <c r="H129" s="24">
        <v>0.14835148555139621</v>
      </c>
      <c r="I129" s="24">
        <v>1.1200000000000001</v>
      </c>
      <c r="J129" s="24">
        <v>0.2441455303707197</v>
      </c>
      <c r="K129" s="24">
        <v>0.21798708068814249</v>
      </c>
      <c r="L129" s="20" t="s">
        <v>500</v>
      </c>
      <c r="M129" s="21">
        <f t="shared" si="1"/>
        <v>0.84626924806481862</v>
      </c>
    </row>
    <row r="130" spans="1:13" x14ac:dyDescent="0.3">
      <c r="A130" s="20" t="s">
        <v>262</v>
      </c>
      <c r="B130" s="20">
        <v>541.5</v>
      </c>
      <c r="C130" s="24">
        <v>1.0978762696214219</v>
      </c>
      <c r="D130" s="24">
        <v>0.1092409148281315</v>
      </c>
      <c r="E130" s="24">
        <v>9.9502027551611832E-2</v>
      </c>
      <c r="F130" s="24">
        <v>0.99722991689750695</v>
      </c>
      <c r="G130" s="24">
        <v>5.6300354802815172E-2</v>
      </c>
      <c r="H130" s="24">
        <v>5.6456744677267433E-2</v>
      </c>
      <c r="I130" s="24">
        <v>1.642659279778393</v>
      </c>
      <c r="J130" s="24">
        <v>0.12661123343029801</v>
      </c>
      <c r="K130" s="24">
        <v>7.707699033446469E-2</v>
      </c>
      <c r="L130" s="20" t="s">
        <v>502</v>
      </c>
      <c r="M130" s="21">
        <f t="shared" si="1"/>
        <v>0.23303576256334396</v>
      </c>
    </row>
    <row r="131" spans="1:13" x14ac:dyDescent="0.3">
      <c r="A131" s="20" t="s">
        <v>264</v>
      </c>
      <c r="B131" s="20">
        <v>5.5</v>
      </c>
      <c r="C131" s="24">
        <v>1</v>
      </c>
      <c r="D131" s="24">
        <v>0.28747978728803453</v>
      </c>
      <c r="E131" s="24">
        <v>0.28747978728803453</v>
      </c>
      <c r="F131" s="24">
        <v>1.2727272727272729</v>
      </c>
      <c r="G131" s="24">
        <v>0.11570247933884301</v>
      </c>
      <c r="H131" s="24">
        <v>9.0909090909090912E-2</v>
      </c>
      <c r="I131" s="24">
        <v>2.1818181818181821</v>
      </c>
      <c r="J131" s="24">
        <v>0.41421368879807158</v>
      </c>
      <c r="K131" s="24">
        <v>0.1898479406991162</v>
      </c>
      <c r="L131" s="20" t="s">
        <v>499</v>
      </c>
      <c r="M131" s="21">
        <f t="shared" ref="M131:M194" si="2">E131+H131+K131</f>
        <v>0.56823681889624167</v>
      </c>
    </row>
    <row r="132" spans="1:13" x14ac:dyDescent="0.3">
      <c r="A132" s="20" t="s">
        <v>266</v>
      </c>
      <c r="B132" s="20">
        <v>15</v>
      </c>
      <c r="C132" s="24">
        <v>0.93333333333333335</v>
      </c>
      <c r="D132" s="24">
        <v>0.1982142499642468</v>
      </c>
      <c r="E132" s="24">
        <v>0.2123724106759787</v>
      </c>
      <c r="F132" s="24">
        <v>1.033333333333333</v>
      </c>
      <c r="G132" s="24">
        <v>0.20933757957476781</v>
      </c>
      <c r="H132" s="24">
        <v>0.20258475442719459</v>
      </c>
      <c r="I132" s="24">
        <v>1.2333333333333329</v>
      </c>
      <c r="J132" s="24">
        <v>0.26616619703569511</v>
      </c>
      <c r="K132" s="24">
        <v>0.21581043002894201</v>
      </c>
      <c r="L132" s="20" t="s">
        <v>499</v>
      </c>
      <c r="M132" s="21">
        <f t="shared" si="2"/>
        <v>0.63076759513211522</v>
      </c>
    </row>
    <row r="133" spans="1:13" x14ac:dyDescent="0.3">
      <c r="A133" s="20" t="s">
        <v>268</v>
      </c>
      <c r="B133" s="20">
        <v>77.5</v>
      </c>
      <c r="C133" s="24">
        <v>0.73548387096774193</v>
      </c>
      <c r="D133" s="24">
        <v>0.1521720171791352</v>
      </c>
      <c r="E133" s="24">
        <v>0.2069005496733855</v>
      </c>
      <c r="F133" s="24">
        <v>0.91612903225806452</v>
      </c>
      <c r="G133" s="24">
        <v>0.14405391300313211</v>
      </c>
      <c r="H133" s="24">
        <v>0.15724194729215121</v>
      </c>
      <c r="I133" s="24">
        <v>1.354838709677419</v>
      </c>
      <c r="J133" s="24">
        <v>0.16199650714371119</v>
      </c>
      <c r="K133" s="24">
        <v>0.11956885051083441</v>
      </c>
      <c r="L133" s="20" t="s">
        <v>498</v>
      </c>
      <c r="M133" s="21">
        <f t="shared" si="2"/>
        <v>0.48371134747637112</v>
      </c>
    </row>
    <row r="134" spans="1:13" x14ac:dyDescent="0.3">
      <c r="A134" s="20" t="s">
        <v>268</v>
      </c>
      <c r="B134" s="20">
        <v>67</v>
      </c>
      <c r="C134" s="24">
        <v>0.82835820895522383</v>
      </c>
      <c r="D134" s="24">
        <v>0.2614864790591504</v>
      </c>
      <c r="E134" s="24">
        <v>0.31566836210744292</v>
      </c>
      <c r="F134" s="24">
        <v>0.81343283582089554</v>
      </c>
      <c r="G134" s="24">
        <v>5.363106932440747E-2</v>
      </c>
      <c r="H134" s="24">
        <v>6.5931773297895416E-2</v>
      </c>
      <c r="I134" s="24">
        <v>1.380597014925373</v>
      </c>
      <c r="J134" s="24">
        <v>0.39605878809352651</v>
      </c>
      <c r="K134" s="24">
        <v>0.28687501407855431</v>
      </c>
      <c r="L134" s="20" t="s">
        <v>500</v>
      </c>
      <c r="M134" s="21">
        <f t="shared" si="2"/>
        <v>0.66847514948389264</v>
      </c>
    </row>
    <row r="135" spans="1:13" x14ac:dyDescent="0.3">
      <c r="A135" s="20" t="s">
        <v>270</v>
      </c>
      <c r="B135" s="20">
        <v>11.5</v>
      </c>
      <c r="C135" s="24">
        <v>0.73913043478260865</v>
      </c>
      <c r="D135" s="24">
        <v>0.20695764061877031</v>
      </c>
      <c r="E135" s="24">
        <v>0.28000151377833638</v>
      </c>
      <c r="F135" s="24">
        <v>1.2173913043478259</v>
      </c>
      <c r="G135" s="24">
        <v>0.26465028355387532</v>
      </c>
      <c r="H135" s="24">
        <v>0.21739130434782611</v>
      </c>
      <c r="I135" s="24">
        <v>1.9130434782608701</v>
      </c>
      <c r="J135" s="24">
        <v>0.49092594843683229</v>
      </c>
      <c r="K135" s="24">
        <v>0.25662038213743499</v>
      </c>
      <c r="L135" s="20" t="s">
        <v>500</v>
      </c>
      <c r="M135" s="21">
        <f t="shared" si="2"/>
        <v>0.75401320026359753</v>
      </c>
    </row>
    <row r="136" spans="1:13" x14ac:dyDescent="0.3">
      <c r="A136" s="20" t="s">
        <v>272</v>
      </c>
      <c r="B136" s="20">
        <v>30</v>
      </c>
      <c r="C136" s="24">
        <v>0.73333333333333328</v>
      </c>
      <c r="D136" s="24">
        <v>0.2298791953275556</v>
      </c>
      <c r="E136" s="24">
        <v>0.31347162999212119</v>
      </c>
      <c r="F136" s="24">
        <v>1.1000000000000001</v>
      </c>
      <c r="G136" s="24">
        <v>0.34481879299133339</v>
      </c>
      <c r="H136" s="24">
        <v>0.31347162999212119</v>
      </c>
      <c r="I136" s="24">
        <v>1.7333333333333329</v>
      </c>
      <c r="J136" s="24">
        <v>0.5368219237119306</v>
      </c>
      <c r="K136" s="24">
        <v>0.30970495598765219</v>
      </c>
      <c r="L136" s="20" t="s">
        <v>500</v>
      </c>
      <c r="M136" s="21">
        <f t="shared" si="2"/>
        <v>0.93664821597189452</v>
      </c>
    </row>
    <row r="137" spans="1:13" x14ac:dyDescent="0.3">
      <c r="A137" s="20" t="s">
        <v>274</v>
      </c>
      <c r="B137" s="20">
        <v>1576</v>
      </c>
      <c r="C137" s="24">
        <v>0.84803299492385786</v>
      </c>
      <c r="D137" s="24">
        <v>0.21893761651465071</v>
      </c>
      <c r="E137" s="24">
        <v>0.25817110634275309</v>
      </c>
      <c r="F137" s="24">
        <v>1.0291878172588831</v>
      </c>
      <c r="G137" s="24">
        <v>0.18436300420268381</v>
      </c>
      <c r="H137" s="24">
        <v>0.17913446031037589</v>
      </c>
      <c r="I137" s="24">
        <v>1.7084390862944161</v>
      </c>
      <c r="J137" s="24">
        <v>0.2147159753526072</v>
      </c>
      <c r="K137" s="24">
        <v>0.12567962011354089</v>
      </c>
      <c r="L137" s="20" t="s">
        <v>499</v>
      </c>
      <c r="M137" s="21">
        <f t="shared" si="2"/>
        <v>0.56298518676666987</v>
      </c>
    </row>
    <row r="138" spans="1:13" x14ac:dyDescent="0.3">
      <c r="A138" s="20" t="s">
        <v>276</v>
      </c>
      <c r="B138" s="20">
        <v>1156.5</v>
      </c>
      <c r="C138" s="24">
        <v>0.88240380458279288</v>
      </c>
      <c r="D138" s="24">
        <v>0.1970794989381954</v>
      </c>
      <c r="E138" s="24">
        <v>0.223343890761414</v>
      </c>
      <c r="F138" s="24">
        <v>1.0129701686121919</v>
      </c>
      <c r="G138" s="24">
        <v>8.2410405003551596E-2</v>
      </c>
      <c r="H138" s="24">
        <v>8.1355214158435704E-2</v>
      </c>
      <c r="I138" s="24">
        <v>1.370082144401211</v>
      </c>
      <c r="J138" s="24">
        <v>0.1153525343337778</v>
      </c>
      <c r="K138" s="24">
        <v>8.4193881954568617E-2</v>
      </c>
      <c r="L138" s="20" t="s">
        <v>501</v>
      </c>
      <c r="M138" s="21">
        <f t="shared" si="2"/>
        <v>0.38889298687441831</v>
      </c>
    </row>
    <row r="139" spans="1:13" x14ac:dyDescent="0.3">
      <c r="A139" s="20" t="s">
        <v>278</v>
      </c>
      <c r="B139" s="20">
        <v>286</v>
      </c>
      <c r="C139" s="24">
        <v>0.82517482517482521</v>
      </c>
      <c r="D139" s="24">
        <v>0.23393381588870149</v>
      </c>
      <c r="E139" s="24">
        <v>0.28349606501766361</v>
      </c>
      <c r="F139" s="24">
        <v>0.95804195804195802</v>
      </c>
      <c r="G139" s="24">
        <v>0.2128058265687387</v>
      </c>
      <c r="H139" s="24">
        <v>0.22212578977612871</v>
      </c>
      <c r="I139" s="24">
        <v>1.6381118881118879</v>
      </c>
      <c r="J139" s="24">
        <v>0.44643829863766799</v>
      </c>
      <c r="K139" s="24">
        <v>0.27253223780229041</v>
      </c>
      <c r="L139" s="20" t="s">
        <v>500</v>
      </c>
      <c r="M139" s="21">
        <f t="shared" si="2"/>
        <v>0.7781540925960827</v>
      </c>
    </row>
    <row r="140" spans="1:13" x14ac:dyDescent="0.3">
      <c r="A140" s="20" t="s">
        <v>280</v>
      </c>
      <c r="B140" s="20">
        <v>96</v>
      </c>
      <c r="C140" s="24">
        <v>0.70833333333333337</v>
      </c>
      <c r="D140" s="24">
        <v>0.14657806288953179</v>
      </c>
      <c r="E140" s="24">
        <v>0.20693373584404481</v>
      </c>
      <c r="F140" s="24">
        <v>0.8125</v>
      </c>
      <c r="G140" s="24">
        <v>0.1364705087602619</v>
      </c>
      <c r="H140" s="24">
        <v>0.16796370308955311</v>
      </c>
      <c r="I140" s="24">
        <v>1.484375</v>
      </c>
      <c r="J140" s="24">
        <v>9.3786726927858582E-2</v>
      </c>
      <c r="K140" s="24">
        <v>6.3182637088241567E-2</v>
      </c>
      <c r="L140" s="20" t="s">
        <v>501</v>
      </c>
      <c r="M140" s="21">
        <f t="shared" si="2"/>
        <v>0.43808007602183952</v>
      </c>
    </row>
    <row r="141" spans="1:13" x14ac:dyDescent="0.3">
      <c r="A141" s="20" t="s">
        <v>282</v>
      </c>
      <c r="B141" s="20">
        <v>21.5</v>
      </c>
      <c r="C141" s="24">
        <v>0.69767441860465118</v>
      </c>
      <c r="D141" s="24">
        <v>0.27954102612372228</v>
      </c>
      <c r="E141" s="24">
        <v>0.40067547077733529</v>
      </c>
      <c r="F141" s="24">
        <v>0.39534883720930231</v>
      </c>
      <c r="G141" s="24">
        <v>0.11664199340627029</v>
      </c>
      <c r="H141" s="24">
        <v>0.29503563038056602</v>
      </c>
      <c r="I141" s="24">
        <v>0.88372093023255816</v>
      </c>
      <c r="J141" s="24">
        <v>5.0849796748699438E-2</v>
      </c>
      <c r="K141" s="24">
        <v>5.754055947879147E-2</v>
      </c>
      <c r="L141" s="20" t="s">
        <v>500</v>
      </c>
      <c r="M141" s="21">
        <f t="shared" si="2"/>
        <v>0.7532516606366928</v>
      </c>
    </row>
    <row r="142" spans="1:13" x14ac:dyDescent="0.3">
      <c r="A142" s="20" t="s">
        <v>284</v>
      </c>
      <c r="B142" s="20">
        <v>11.5</v>
      </c>
      <c r="C142" s="24">
        <v>1.0869565217391299</v>
      </c>
      <c r="D142" s="24">
        <v>0.25953743322771228</v>
      </c>
      <c r="E142" s="24">
        <v>0.23877443856949529</v>
      </c>
      <c r="F142" s="24">
        <v>1.173913043478261</v>
      </c>
      <c r="G142" s="24">
        <v>0.26590305702106642</v>
      </c>
      <c r="H142" s="24">
        <v>0.22651001153646391</v>
      </c>
      <c r="I142" s="24">
        <v>2.6086956521739131</v>
      </c>
      <c r="J142" s="24">
        <v>0.55210139381891232</v>
      </c>
      <c r="K142" s="24">
        <v>0.21163886763058309</v>
      </c>
      <c r="L142" s="20" t="s">
        <v>500</v>
      </c>
      <c r="M142" s="21">
        <f t="shared" si="2"/>
        <v>0.67692331773654235</v>
      </c>
    </row>
    <row r="143" spans="1:13" x14ac:dyDescent="0.3">
      <c r="A143" s="20" t="s">
        <v>286</v>
      </c>
      <c r="B143" s="20">
        <v>8.5</v>
      </c>
      <c r="C143" s="24">
        <v>0.70588235294117652</v>
      </c>
      <c r="D143" s="24">
        <v>0.23862892248535181</v>
      </c>
      <c r="E143" s="24">
        <v>0.33805764018758172</v>
      </c>
      <c r="F143" s="24">
        <v>0.70588235294117652</v>
      </c>
      <c r="G143" s="24">
        <v>0.23862892248535181</v>
      </c>
      <c r="H143" s="24">
        <v>0.33805764018758172</v>
      </c>
      <c r="I143" s="24">
        <v>1.3529411764705881</v>
      </c>
      <c r="J143" s="24">
        <v>0.49482178706142188</v>
      </c>
      <c r="K143" s="24">
        <v>0.36573784261061609</v>
      </c>
      <c r="L143" s="20" t="s">
        <v>500</v>
      </c>
      <c r="M143" s="21">
        <f t="shared" si="2"/>
        <v>1.0418531229857795</v>
      </c>
    </row>
    <row r="144" spans="1:13" x14ac:dyDescent="0.3">
      <c r="A144" s="20" t="s">
        <v>288</v>
      </c>
      <c r="B144" s="20">
        <v>5.5</v>
      </c>
      <c r="C144" s="24">
        <v>1.454545454545455</v>
      </c>
      <c r="D144" s="24">
        <v>0.82842737759614338</v>
      </c>
      <c r="E144" s="24">
        <v>0.56954382209734855</v>
      </c>
      <c r="F144" s="24">
        <v>1.8181818181818179</v>
      </c>
      <c r="G144" s="24">
        <v>0.52815025813786631</v>
      </c>
      <c r="H144" s="24">
        <v>0.29048264197582652</v>
      </c>
      <c r="I144" s="24">
        <v>1.8181818181818179</v>
      </c>
      <c r="J144" s="24">
        <v>0.49586776859504128</v>
      </c>
      <c r="K144" s="24">
        <v>0.27272727272727271</v>
      </c>
      <c r="L144" s="20" t="s">
        <v>500</v>
      </c>
      <c r="M144" s="21">
        <f t="shared" si="2"/>
        <v>1.1327537368004479</v>
      </c>
    </row>
    <row r="145" spans="1:13" x14ac:dyDescent="0.3">
      <c r="A145" s="20" t="s">
        <v>290</v>
      </c>
      <c r="B145" s="20">
        <v>24</v>
      </c>
      <c r="C145" s="24">
        <v>0.6875</v>
      </c>
      <c r="D145" s="24">
        <v>6.0961978701664712E-2</v>
      </c>
      <c r="E145" s="24">
        <v>8.8671969020603217E-2</v>
      </c>
      <c r="F145" s="24">
        <v>1.125</v>
      </c>
      <c r="G145" s="24">
        <v>0.1254332768624197</v>
      </c>
      <c r="H145" s="24">
        <v>0.1114962460999286</v>
      </c>
      <c r="I145" s="24">
        <v>1.416666666666667</v>
      </c>
      <c r="J145" s="24">
        <v>0.11805555555555559</v>
      </c>
      <c r="K145" s="24">
        <v>8.3333333333333329E-2</v>
      </c>
      <c r="L145" s="20" t="s">
        <v>502</v>
      </c>
      <c r="M145" s="21">
        <f t="shared" si="2"/>
        <v>0.28350154845386516</v>
      </c>
    </row>
    <row r="146" spans="1:13" x14ac:dyDescent="0.3">
      <c r="A146" s="20" t="s">
        <v>292</v>
      </c>
      <c r="B146" s="20">
        <v>9</v>
      </c>
      <c r="C146" s="24">
        <v>0.83333333333333337</v>
      </c>
      <c r="D146" s="24">
        <v>0.19333900942426949</v>
      </c>
      <c r="E146" s="24">
        <v>0.23200681130912329</v>
      </c>
      <c r="F146" s="24">
        <v>0.83333333333333337</v>
      </c>
      <c r="G146" s="24">
        <v>0.24914118605692059</v>
      </c>
      <c r="H146" s="24">
        <v>0.29896942326830472</v>
      </c>
      <c r="I146" s="24">
        <v>0.94444444444444442</v>
      </c>
      <c r="J146" s="24">
        <v>0.44190805750852941</v>
      </c>
      <c r="K146" s="24">
        <v>0.46790264912667823</v>
      </c>
      <c r="L146" s="20" t="s">
        <v>500</v>
      </c>
      <c r="M146" s="21">
        <f t="shared" si="2"/>
        <v>0.99887888370410627</v>
      </c>
    </row>
    <row r="147" spans="1:13" x14ac:dyDescent="0.3">
      <c r="A147" s="20" t="s">
        <v>294</v>
      </c>
      <c r="B147" s="20">
        <v>495</v>
      </c>
      <c r="C147" s="24">
        <v>0.79595959595959598</v>
      </c>
      <c r="D147" s="24">
        <v>0.25351248963767881</v>
      </c>
      <c r="E147" s="24">
        <v>0.31849919383413949</v>
      </c>
      <c r="F147" s="24">
        <v>1.014141414141414</v>
      </c>
      <c r="G147" s="24">
        <v>0.18811260179789699</v>
      </c>
      <c r="H147" s="24">
        <v>0.1854895177090817</v>
      </c>
      <c r="I147" s="24">
        <v>1.5686868686868689</v>
      </c>
      <c r="J147" s="24">
        <v>0.25701320482070372</v>
      </c>
      <c r="K147" s="24">
        <v>0.1638397120235007</v>
      </c>
      <c r="L147" s="20" t="s">
        <v>500</v>
      </c>
      <c r="M147" s="21">
        <f t="shared" si="2"/>
        <v>0.6678284235667219</v>
      </c>
    </row>
    <row r="148" spans="1:13" x14ac:dyDescent="0.3">
      <c r="A148" s="20" t="s">
        <v>296</v>
      </c>
      <c r="B148" s="20">
        <v>311.5</v>
      </c>
      <c r="C148" s="24">
        <v>0.884430176565008</v>
      </c>
      <c r="D148" s="24">
        <v>0.1942266970423685</v>
      </c>
      <c r="E148" s="24">
        <v>0.2196065921186853</v>
      </c>
      <c r="F148" s="24">
        <v>0.9502407704654896</v>
      </c>
      <c r="G148" s="24">
        <v>6.743298253458288E-2</v>
      </c>
      <c r="H148" s="24">
        <v>7.0964101552441108E-2</v>
      </c>
      <c r="I148" s="24">
        <v>1.707865168539326</v>
      </c>
      <c r="J148" s="24">
        <v>0.15090772653564721</v>
      </c>
      <c r="K148" s="24">
        <v>8.83604451425829E-2</v>
      </c>
      <c r="L148" s="20" t="s">
        <v>501</v>
      </c>
      <c r="M148" s="21">
        <f t="shared" si="2"/>
        <v>0.37893113881370932</v>
      </c>
    </row>
    <row r="149" spans="1:13" x14ac:dyDescent="0.3">
      <c r="A149" s="20" t="s">
        <v>298</v>
      </c>
      <c r="B149" s="20">
        <v>89.5</v>
      </c>
      <c r="C149" s="24">
        <v>1</v>
      </c>
      <c r="D149" s="24">
        <v>9.772545075159722E-2</v>
      </c>
      <c r="E149" s="24">
        <v>9.772545075159722E-2</v>
      </c>
      <c r="F149" s="24">
        <v>1.016759776536313</v>
      </c>
      <c r="G149" s="24">
        <v>6.7903605623117175E-2</v>
      </c>
      <c r="H149" s="24">
        <v>6.6784315420538323E-2</v>
      </c>
      <c r="I149" s="24">
        <v>1.4525139664804469</v>
      </c>
      <c r="J149" s="24">
        <v>8.0356393549907451E-2</v>
      </c>
      <c r="K149" s="24">
        <v>5.5322286328590133E-2</v>
      </c>
      <c r="L149" s="20" t="s">
        <v>502</v>
      </c>
      <c r="M149" s="21">
        <f t="shared" si="2"/>
        <v>0.21983205250072566</v>
      </c>
    </row>
    <row r="150" spans="1:13" x14ac:dyDescent="0.3">
      <c r="A150" s="20" t="s">
        <v>300</v>
      </c>
      <c r="B150" s="20">
        <v>2160</v>
      </c>
      <c r="C150" s="24">
        <v>0.77916666666666667</v>
      </c>
      <c r="D150" s="24">
        <v>0.2044936656097221</v>
      </c>
      <c r="E150" s="24">
        <v>0.26245176334937592</v>
      </c>
      <c r="F150" s="24">
        <v>0.92731481481481481</v>
      </c>
      <c r="G150" s="24">
        <v>5.0179175134441298E-2</v>
      </c>
      <c r="H150" s="24">
        <v>5.4112340634245228E-2</v>
      </c>
      <c r="I150" s="24">
        <v>1.231944444444445</v>
      </c>
      <c r="J150" s="24">
        <v>0.12856612947661189</v>
      </c>
      <c r="K150" s="24">
        <v>0.104360330578535</v>
      </c>
      <c r="L150" s="20" t="s">
        <v>501</v>
      </c>
      <c r="M150" s="21">
        <f t="shared" si="2"/>
        <v>0.42092443456215617</v>
      </c>
    </row>
    <row r="151" spans="1:13" x14ac:dyDescent="0.3">
      <c r="A151" s="20" t="s">
        <v>302</v>
      </c>
      <c r="B151" s="20">
        <v>21.5</v>
      </c>
      <c r="C151" s="24">
        <v>0.83720930232558144</v>
      </c>
      <c r="D151" s="24">
        <v>0.13464892434479561</v>
      </c>
      <c r="E151" s="24">
        <v>0.16083065963406129</v>
      </c>
      <c r="F151" s="24">
        <v>0.86046511627906974</v>
      </c>
      <c r="G151" s="24">
        <v>0.1219767007522676</v>
      </c>
      <c r="H151" s="24">
        <v>0.1417567062796623</v>
      </c>
      <c r="I151" s="24">
        <v>1.093023255813953</v>
      </c>
      <c r="J151" s="24">
        <v>0.2065287756652826</v>
      </c>
      <c r="K151" s="24">
        <v>0.1889518585873862</v>
      </c>
      <c r="L151" s="20" t="s">
        <v>498</v>
      </c>
      <c r="M151" s="21">
        <f t="shared" si="2"/>
        <v>0.49153922450110976</v>
      </c>
    </row>
    <row r="152" spans="1:13" x14ac:dyDescent="0.3">
      <c r="A152" s="20" t="s">
        <v>304</v>
      </c>
      <c r="B152" s="20">
        <v>16</v>
      </c>
      <c r="C152" s="24">
        <v>1.03125</v>
      </c>
      <c r="D152" s="24">
        <v>0.2280477314560827</v>
      </c>
      <c r="E152" s="24">
        <v>0.22113719413923169</v>
      </c>
      <c r="F152" s="24">
        <v>0.9375</v>
      </c>
      <c r="G152" s="24">
        <v>0.25677466296163748</v>
      </c>
      <c r="H152" s="24">
        <v>0.27389297382574662</v>
      </c>
      <c r="I152" s="24">
        <v>1.71875</v>
      </c>
      <c r="J152" s="24">
        <v>0.30106647393643088</v>
      </c>
      <c r="K152" s="24">
        <v>0.17516594847210529</v>
      </c>
      <c r="L152" s="20" t="s">
        <v>500</v>
      </c>
      <c r="M152" s="21">
        <f t="shared" si="2"/>
        <v>0.67019611643708366</v>
      </c>
    </row>
    <row r="153" spans="1:13" x14ac:dyDescent="0.3">
      <c r="A153" s="20" t="s">
        <v>306</v>
      </c>
      <c r="B153" s="20">
        <v>2441</v>
      </c>
      <c r="C153" s="24">
        <v>0.79147890208930771</v>
      </c>
      <c r="D153" s="24">
        <v>0.2384348111737111</v>
      </c>
      <c r="E153" s="24">
        <v>0.30125226401399008</v>
      </c>
      <c r="F153" s="24">
        <v>0.91437935272429327</v>
      </c>
      <c r="G153" s="24">
        <v>5.7805213029048907E-3</v>
      </c>
      <c r="H153" s="24">
        <v>6.3217977152288706E-3</v>
      </c>
      <c r="I153" s="24">
        <v>1.186603850880787</v>
      </c>
      <c r="J153" s="24">
        <v>0.18580740804270671</v>
      </c>
      <c r="K153" s="24">
        <v>0.15658756534860929</v>
      </c>
      <c r="L153" s="20" t="s">
        <v>498</v>
      </c>
      <c r="M153" s="21">
        <f t="shared" si="2"/>
        <v>0.46416162707782826</v>
      </c>
    </row>
    <row r="154" spans="1:13" x14ac:dyDescent="0.3">
      <c r="A154" s="20" t="s">
        <v>308</v>
      </c>
      <c r="B154" s="20">
        <v>1352.5</v>
      </c>
      <c r="C154" s="24">
        <v>0.92199630314232905</v>
      </c>
      <c r="D154" s="24">
        <v>0.1770740031581324</v>
      </c>
      <c r="E154" s="24">
        <v>0.19205500342532</v>
      </c>
      <c r="F154" s="24">
        <v>0.97781885397412205</v>
      </c>
      <c r="G154" s="24">
        <v>5.89146382337861E-2</v>
      </c>
      <c r="H154" s="24">
        <v>6.0251076152132849E-2</v>
      </c>
      <c r="I154" s="24">
        <v>1.5855822550831791</v>
      </c>
      <c r="J154" s="24">
        <v>0.1890765549009607</v>
      </c>
      <c r="K154" s="24">
        <v>0.1192473958981345</v>
      </c>
      <c r="L154" s="20" t="s">
        <v>501</v>
      </c>
      <c r="M154" s="21">
        <f t="shared" si="2"/>
        <v>0.37155347547558737</v>
      </c>
    </row>
    <row r="155" spans="1:13" x14ac:dyDescent="0.3">
      <c r="A155" s="20" t="s">
        <v>310</v>
      </c>
      <c r="B155" s="20">
        <v>20.5</v>
      </c>
      <c r="C155" s="24">
        <v>0.95121951219512191</v>
      </c>
      <c r="D155" s="24">
        <v>0.1185387533915911</v>
      </c>
      <c r="E155" s="24">
        <v>0.1246176638219291</v>
      </c>
      <c r="F155" s="24">
        <v>1.1463414634146341</v>
      </c>
      <c r="G155" s="24">
        <v>0.39165330002103232</v>
      </c>
      <c r="H155" s="24">
        <v>0.34165500640132612</v>
      </c>
      <c r="I155" s="24">
        <v>1.48780487804878</v>
      </c>
      <c r="J155" s="24">
        <v>0.28479104489017792</v>
      </c>
      <c r="K155" s="24">
        <v>0.19141693181143099</v>
      </c>
      <c r="L155" s="20" t="s">
        <v>500</v>
      </c>
      <c r="M155" s="21">
        <f t="shared" si="2"/>
        <v>0.65768960203468629</v>
      </c>
    </row>
    <row r="156" spans="1:13" x14ac:dyDescent="0.3">
      <c r="A156" s="20" t="s">
        <v>312</v>
      </c>
      <c r="B156" s="20">
        <v>36</v>
      </c>
      <c r="C156" s="24">
        <v>0.88888888888888884</v>
      </c>
      <c r="D156" s="24">
        <v>0.1111111111111111</v>
      </c>
      <c r="E156" s="24">
        <v>0.125</v>
      </c>
      <c r="F156" s="24">
        <v>0.76388888888888884</v>
      </c>
      <c r="G156" s="24">
        <v>1.388888888888889E-2</v>
      </c>
      <c r="H156" s="24">
        <v>1.8181818181818181E-2</v>
      </c>
      <c r="I156" s="24">
        <v>1.0138888888888891</v>
      </c>
      <c r="J156" s="24">
        <v>0.15277777777777779</v>
      </c>
      <c r="K156" s="24">
        <v>0.15068493150684931</v>
      </c>
      <c r="L156" s="20" t="s">
        <v>502</v>
      </c>
      <c r="M156" s="21">
        <f t="shared" si="2"/>
        <v>0.29386674968866749</v>
      </c>
    </row>
    <row r="157" spans="1:13" x14ac:dyDescent="0.3">
      <c r="A157" s="20" t="s">
        <v>314</v>
      </c>
      <c r="B157" s="20">
        <v>318</v>
      </c>
      <c r="C157" s="24">
        <v>0.89150943396226412</v>
      </c>
      <c r="D157" s="24">
        <v>0.1158806276634307</v>
      </c>
      <c r="E157" s="24">
        <v>0.12998250298755179</v>
      </c>
      <c r="F157" s="24">
        <v>1.0157232704402519</v>
      </c>
      <c r="G157" s="24">
        <v>0.2138773035503683</v>
      </c>
      <c r="H157" s="24">
        <v>0.21056650937776189</v>
      </c>
      <c r="I157" s="24">
        <v>1.7720125786163521</v>
      </c>
      <c r="J157" s="24">
        <v>0.51274692675724542</v>
      </c>
      <c r="K157" s="24">
        <v>0.28935851412387592</v>
      </c>
      <c r="L157" s="20" t="s">
        <v>499</v>
      </c>
      <c r="M157" s="21">
        <f t="shared" si="2"/>
        <v>0.62990752648918957</v>
      </c>
    </row>
    <row r="158" spans="1:13" x14ac:dyDescent="0.3">
      <c r="A158" s="20" t="s">
        <v>316</v>
      </c>
      <c r="B158" s="20">
        <v>12.5</v>
      </c>
      <c r="C158" s="24">
        <v>1.1599999999999999</v>
      </c>
      <c r="D158" s="24">
        <v>0.32725378531042237</v>
      </c>
      <c r="E158" s="24">
        <v>0.28211533216415718</v>
      </c>
      <c r="F158" s="24">
        <v>1.1200000000000001</v>
      </c>
      <c r="G158" s="24">
        <v>0.32364326039638158</v>
      </c>
      <c r="H158" s="24">
        <v>0.2889671967824835</v>
      </c>
      <c r="I158" s="24">
        <v>1.84</v>
      </c>
      <c r="J158" s="24">
        <v>0.76094089126554376</v>
      </c>
      <c r="K158" s="24">
        <v>0.41355483220953471</v>
      </c>
      <c r="L158" s="20" t="s">
        <v>500</v>
      </c>
      <c r="M158" s="21">
        <f t="shared" si="2"/>
        <v>0.98463736115617539</v>
      </c>
    </row>
    <row r="159" spans="1:13" x14ac:dyDescent="0.3">
      <c r="A159" s="20" t="s">
        <v>318</v>
      </c>
      <c r="B159" s="20">
        <v>78</v>
      </c>
      <c r="C159" s="24">
        <v>1.1602564102564099</v>
      </c>
      <c r="D159" s="24">
        <v>0.28660569521669499</v>
      </c>
      <c r="E159" s="24">
        <v>0.24701927322543879</v>
      </c>
      <c r="F159" s="24">
        <v>1.141025641025641</v>
      </c>
      <c r="G159" s="24">
        <v>0.1940213298231091</v>
      </c>
      <c r="H159" s="24">
        <v>0.17004116546294959</v>
      </c>
      <c r="I159" s="24">
        <v>1.4230769230769229</v>
      </c>
      <c r="J159" s="24">
        <v>0.2426601696249705</v>
      </c>
      <c r="K159" s="24">
        <v>0.17051795703376299</v>
      </c>
      <c r="L159" s="20" t="s">
        <v>499</v>
      </c>
      <c r="M159" s="21">
        <f t="shared" si="2"/>
        <v>0.58757839572215143</v>
      </c>
    </row>
    <row r="160" spans="1:13" x14ac:dyDescent="0.3">
      <c r="A160" s="20" t="s">
        <v>320</v>
      </c>
      <c r="B160" s="20">
        <v>53.5</v>
      </c>
      <c r="C160" s="24">
        <v>0.82242990654205606</v>
      </c>
      <c r="D160" s="24">
        <v>6.5516056208109741E-2</v>
      </c>
      <c r="E160" s="24">
        <v>7.9661568343951619E-2</v>
      </c>
      <c r="F160" s="24">
        <v>0.88785046728971961</v>
      </c>
      <c r="G160" s="24">
        <v>0.134665614985023</v>
      </c>
      <c r="H160" s="24">
        <v>0.15167600845681539</v>
      </c>
      <c r="I160" s="24">
        <v>1.2429906542056079</v>
      </c>
      <c r="J160" s="24">
        <v>0.17847929128050419</v>
      </c>
      <c r="K160" s="24">
        <v>0.14358860275950339</v>
      </c>
      <c r="L160" s="20" t="s">
        <v>501</v>
      </c>
      <c r="M160" s="21">
        <f t="shared" si="2"/>
        <v>0.37492617956027041</v>
      </c>
    </row>
    <row r="161" spans="1:13" x14ac:dyDescent="0.3">
      <c r="A161" s="20" t="s">
        <v>322</v>
      </c>
      <c r="B161" s="20">
        <v>10811</v>
      </c>
      <c r="C161" s="24">
        <v>0.94297474794191105</v>
      </c>
      <c r="D161" s="24">
        <v>0.24851729190530589</v>
      </c>
      <c r="E161" s="24">
        <v>0.26354607315594308</v>
      </c>
      <c r="F161" s="24">
        <v>1.0239570807510869</v>
      </c>
      <c r="G161" s="24">
        <v>0.111009698046992</v>
      </c>
      <c r="H161" s="24">
        <v>0.10841245217579321</v>
      </c>
      <c r="I161" s="24">
        <v>1.5874109703080199</v>
      </c>
      <c r="J161" s="24">
        <v>0.1785079469837198</v>
      </c>
      <c r="K161" s="24">
        <v>0.1124522573691691</v>
      </c>
      <c r="L161" s="20" t="s">
        <v>498</v>
      </c>
      <c r="M161" s="21">
        <f t="shared" si="2"/>
        <v>0.48441078270090537</v>
      </c>
    </row>
    <row r="162" spans="1:13" x14ac:dyDescent="0.3">
      <c r="A162" s="20" t="s">
        <v>324</v>
      </c>
      <c r="B162" s="20">
        <v>286.5</v>
      </c>
      <c r="C162" s="24">
        <v>0.87434554973821987</v>
      </c>
      <c r="D162" s="24">
        <v>0.23839225414200119</v>
      </c>
      <c r="E162" s="24">
        <v>0.27265221880911522</v>
      </c>
      <c r="F162" s="24">
        <v>0.99301919720767884</v>
      </c>
      <c r="G162" s="24">
        <v>0.1218492553907423</v>
      </c>
      <c r="H162" s="24">
        <v>0.1227058406658969</v>
      </c>
      <c r="I162" s="24">
        <v>1.4275741710296681</v>
      </c>
      <c r="J162" s="24">
        <v>0.2032592858540119</v>
      </c>
      <c r="K162" s="24">
        <v>0.14238089339162449</v>
      </c>
      <c r="L162" s="20" t="s">
        <v>498</v>
      </c>
      <c r="M162" s="21">
        <f t="shared" si="2"/>
        <v>0.53773895286663664</v>
      </c>
    </row>
    <row r="163" spans="1:13" x14ac:dyDescent="0.3">
      <c r="A163" s="20" t="s">
        <v>326</v>
      </c>
      <c r="B163" s="20">
        <v>14.5</v>
      </c>
      <c r="C163" s="24">
        <v>0.72413793103448276</v>
      </c>
      <c r="D163" s="24">
        <v>0.2128717454217379</v>
      </c>
      <c r="E163" s="24">
        <v>0.29396574367763811</v>
      </c>
      <c r="F163" s="24">
        <v>1</v>
      </c>
      <c r="G163" s="24">
        <v>0.17582825908940641</v>
      </c>
      <c r="H163" s="24">
        <v>0.17582825908940641</v>
      </c>
      <c r="I163" s="24">
        <v>1.448275862068966</v>
      </c>
      <c r="J163" s="24">
        <v>0.48329720488294742</v>
      </c>
      <c r="K163" s="24">
        <v>0.33370521289536842</v>
      </c>
      <c r="L163" s="20" t="s">
        <v>500</v>
      </c>
      <c r="M163" s="21">
        <f t="shared" si="2"/>
        <v>0.803499215662413</v>
      </c>
    </row>
    <row r="164" spans="1:13" x14ac:dyDescent="0.3">
      <c r="A164" s="20" t="s">
        <v>328</v>
      </c>
      <c r="B164" s="20">
        <v>19.5</v>
      </c>
      <c r="C164" s="24">
        <v>1.1025641025641031</v>
      </c>
      <c r="D164" s="24">
        <v>0.1537196668118242</v>
      </c>
      <c r="E164" s="24">
        <v>0.13942016292235221</v>
      </c>
      <c r="F164" s="24">
        <v>0.94871794871794868</v>
      </c>
      <c r="G164" s="24">
        <v>0.34122858017607283</v>
      </c>
      <c r="H164" s="24">
        <v>0.35967336829369828</v>
      </c>
      <c r="I164" s="24">
        <v>1.128205128205128</v>
      </c>
      <c r="J164" s="24">
        <v>0.31969703494050983</v>
      </c>
      <c r="K164" s="24">
        <v>0.28336782642454278</v>
      </c>
      <c r="L164" s="20" t="s">
        <v>500</v>
      </c>
      <c r="M164" s="21">
        <f t="shared" si="2"/>
        <v>0.78246135764059321</v>
      </c>
    </row>
    <row r="165" spans="1:13" x14ac:dyDescent="0.3">
      <c r="A165" s="20" t="s">
        <v>330</v>
      </c>
      <c r="B165" s="20">
        <v>8</v>
      </c>
      <c r="C165" s="24">
        <v>1</v>
      </c>
      <c r="D165" s="24">
        <v>0.39528470752104738</v>
      </c>
      <c r="E165" s="24">
        <v>0.39528470752104738</v>
      </c>
      <c r="F165" s="24">
        <v>0.5625</v>
      </c>
      <c r="G165" s="24">
        <v>9.4074957646814811E-2</v>
      </c>
      <c r="H165" s="24">
        <v>0.16724436914989299</v>
      </c>
      <c r="I165" s="24">
        <v>1</v>
      </c>
      <c r="J165" s="24">
        <v>0.17677669529663689</v>
      </c>
      <c r="K165" s="24">
        <v>0.17677669529663689</v>
      </c>
      <c r="L165" s="20" t="s">
        <v>500</v>
      </c>
      <c r="M165" s="21">
        <f t="shared" si="2"/>
        <v>0.73930577196757719</v>
      </c>
    </row>
    <row r="166" spans="1:13" x14ac:dyDescent="0.3">
      <c r="A166" s="20" t="s">
        <v>332</v>
      </c>
      <c r="B166" s="20">
        <v>504</v>
      </c>
      <c r="C166" s="24">
        <v>0.95634920634920639</v>
      </c>
      <c r="D166" s="24">
        <v>0.1828701391749909</v>
      </c>
      <c r="E166" s="24">
        <v>0.1912169090128536</v>
      </c>
      <c r="F166" s="24">
        <v>0.91765873015873012</v>
      </c>
      <c r="G166" s="24">
        <v>8.0266479502715954E-2</v>
      </c>
      <c r="H166" s="24">
        <v>8.7468769014851552E-2</v>
      </c>
      <c r="I166" s="24">
        <v>1.3204365079365079</v>
      </c>
      <c r="J166" s="24">
        <v>0.11881206488319671</v>
      </c>
      <c r="K166" s="24">
        <v>8.9979384975403642E-2</v>
      </c>
      <c r="L166" s="20" t="s">
        <v>501</v>
      </c>
      <c r="M166" s="21">
        <f t="shared" si="2"/>
        <v>0.36866506300310881</v>
      </c>
    </row>
    <row r="167" spans="1:13" x14ac:dyDescent="0.3">
      <c r="A167" s="20" t="s">
        <v>334</v>
      </c>
      <c r="B167" s="20">
        <v>433</v>
      </c>
      <c r="C167" s="24">
        <v>0.91454965357967666</v>
      </c>
      <c r="D167" s="24">
        <v>0.15935334872979209</v>
      </c>
      <c r="E167" s="24">
        <v>0.17424242424242431</v>
      </c>
      <c r="F167" s="24">
        <v>0.92147806004618937</v>
      </c>
      <c r="G167" s="24">
        <v>0</v>
      </c>
      <c r="H167" s="24">
        <v>0</v>
      </c>
      <c r="I167" s="24">
        <v>1.301385681293302</v>
      </c>
      <c r="J167" s="24">
        <v>0.17205542725173209</v>
      </c>
      <c r="K167" s="24">
        <v>0.13220940550133101</v>
      </c>
      <c r="L167" s="20" t="s">
        <v>501</v>
      </c>
      <c r="M167" s="21">
        <f t="shared" si="2"/>
        <v>0.30645182974375529</v>
      </c>
    </row>
    <row r="168" spans="1:13" x14ac:dyDescent="0.3">
      <c r="A168" s="20" t="s">
        <v>336</v>
      </c>
      <c r="B168" s="20">
        <v>986</v>
      </c>
      <c r="C168" s="24">
        <v>1.0481744421906689</v>
      </c>
      <c r="D168" s="24">
        <v>0.13343415604211151</v>
      </c>
      <c r="E168" s="24">
        <v>0.12730147833335459</v>
      </c>
      <c r="F168" s="24">
        <v>0.92342799188640978</v>
      </c>
      <c r="G168" s="24">
        <v>9.6298083551884434E-2</v>
      </c>
      <c r="H168" s="24">
        <v>0.10428326236371011</v>
      </c>
      <c r="I168" s="24">
        <v>1.4345841784989859</v>
      </c>
      <c r="J168" s="24">
        <v>0.14565063657880251</v>
      </c>
      <c r="K168" s="24">
        <v>0.10152812136210621</v>
      </c>
      <c r="L168" s="20" t="s">
        <v>501</v>
      </c>
      <c r="M168" s="21">
        <f t="shared" si="2"/>
        <v>0.3331128620591709</v>
      </c>
    </row>
    <row r="169" spans="1:13" x14ac:dyDescent="0.3">
      <c r="A169" s="20" t="s">
        <v>338</v>
      </c>
      <c r="B169" s="20">
        <v>1100.5</v>
      </c>
      <c r="C169" s="24">
        <v>0.8927760109041345</v>
      </c>
      <c r="D169" s="24">
        <v>0.1208153888853447</v>
      </c>
      <c r="E169" s="24">
        <v>0.13532553228327929</v>
      </c>
      <c r="F169" s="24">
        <v>0.93593820990458887</v>
      </c>
      <c r="G169" s="24">
        <v>3.0294767374288201E-2</v>
      </c>
      <c r="H169" s="24">
        <v>3.2368341257673947E-2</v>
      </c>
      <c r="I169" s="24">
        <v>1.15765561108587</v>
      </c>
      <c r="J169" s="24">
        <v>0.13158443228896549</v>
      </c>
      <c r="K169" s="24">
        <v>0.11366457435950281</v>
      </c>
      <c r="L169" s="20" t="s">
        <v>502</v>
      </c>
      <c r="M169" s="21">
        <f t="shared" si="2"/>
        <v>0.28135844790045605</v>
      </c>
    </row>
    <row r="170" spans="1:13" x14ac:dyDescent="0.3">
      <c r="A170" s="20" t="s">
        <v>340</v>
      </c>
      <c r="B170" s="20">
        <v>151.5</v>
      </c>
      <c r="C170" s="24">
        <v>0.87788778877887785</v>
      </c>
      <c r="D170" s="24">
        <v>9.0347375144429906E-2</v>
      </c>
      <c r="E170" s="24">
        <v>0.1029144912359484</v>
      </c>
      <c r="F170" s="24">
        <v>0.8910891089108911</v>
      </c>
      <c r="G170" s="24">
        <v>0.15176706638185131</v>
      </c>
      <c r="H170" s="24">
        <v>0.17031637449518869</v>
      </c>
      <c r="I170" s="24">
        <v>1.422442244224422</v>
      </c>
      <c r="J170" s="24">
        <v>0.1409612620571401</v>
      </c>
      <c r="K170" s="24">
        <v>9.909805662021684E-2</v>
      </c>
      <c r="L170" s="20" t="s">
        <v>501</v>
      </c>
      <c r="M170" s="21">
        <f t="shared" si="2"/>
        <v>0.37232892235135395</v>
      </c>
    </row>
    <row r="171" spans="1:13" x14ac:dyDescent="0.3">
      <c r="A171" s="20" t="s">
        <v>342</v>
      </c>
      <c r="B171" s="20">
        <v>9.5</v>
      </c>
      <c r="C171" s="24">
        <v>1.4210526315789469</v>
      </c>
      <c r="D171" s="24">
        <v>0.17471298649552891</v>
      </c>
      <c r="E171" s="24">
        <v>0.12294617568203881</v>
      </c>
      <c r="F171" s="24">
        <v>1.4736842105263159</v>
      </c>
      <c r="G171" s="24">
        <v>0.22435963137192891</v>
      </c>
      <c r="H171" s="24">
        <v>0.15224403557380889</v>
      </c>
      <c r="I171" s="24">
        <v>1.5263157894736841</v>
      </c>
      <c r="J171" s="24">
        <v>0.27514609511000587</v>
      </c>
      <c r="K171" s="24">
        <v>0.1802681312789694</v>
      </c>
      <c r="L171" s="20" t="s">
        <v>498</v>
      </c>
      <c r="M171" s="21">
        <f t="shared" si="2"/>
        <v>0.4554583425348171</v>
      </c>
    </row>
    <row r="172" spans="1:13" x14ac:dyDescent="0.3">
      <c r="A172" s="20" t="s">
        <v>344</v>
      </c>
      <c r="B172" s="20">
        <v>5</v>
      </c>
      <c r="C172" s="24">
        <v>1</v>
      </c>
      <c r="D172" s="24">
        <v>0.2</v>
      </c>
      <c r="E172" s="24">
        <v>0.2</v>
      </c>
      <c r="F172" s="24">
        <v>2</v>
      </c>
      <c r="G172" s="24">
        <v>0.89442719099991597</v>
      </c>
      <c r="H172" s="24">
        <v>0.44721359549995798</v>
      </c>
      <c r="I172" s="24">
        <v>2.6</v>
      </c>
      <c r="J172" s="24">
        <v>0.95414883535012518</v>
      </c>
      <c r="K172" s="24">
        <v>0.36698032128850971</v>
      </c>
      <c r="L172" s="20" t="s">
        <v>500</v>
      </c>
      <c r="M172" s="21">
        <f t="shared" si="2"/>
        <v>1.0141939167884677</v>
      </c>
    </row>
    <row r="173" spans="1:13" x14ac:dyDescent="0.3">
      <c r="A173" s="20" t="s">
        <v>346</v>
      </c>
      <c r="B173" s="20">
        <v>5035.5</v>
      </c>
      <c r="C173" s="24">
        <v>0.75662794161453684</v>
      </c>
      <c r="D173" s="24">
        <v>0.25711430944347158</v>
      </c>
      <c r="E173" s="24">
        <v>0.33981603811091893</v>
      </c>
      <c r="F173" s="24">
        <v>0.92830900605699529</v>
      </c>
      <c r="G173" s="24">
        <v>9.9041291903069234E-2</v>
      </c>
      <c r="H173" s="24">
        <v>0.10669000435937639</v>
      </c>
      <c r="I173" s="24">
        <v>1.6042101082315561</v>
      </c>
      <c r="J173" s="24">
        <v>0.1601419834620981</v>
      </c>
      <c r="K173" s="24">
        <v>9.9826065576057818E-2</v>
      </c>
      <c r="L173" s="20" t="s">
        <v>498</v>
      </c>
      <c r="M173" s="21">
        <f t="shared" si="2"/>
        <v>0.54633210804635313</v>
      </c>
    </row>
    <row r="174" spans="1:13" x14ac:dyDescent="0.3">
      <c r="A174" s="20" t="s">
        <v>348</v>
      </c>
      <c r="B174" s="20">
        <v>72</v>
      </c>
      <c r="C174" s="24">
        <v>0.97222222222222221</v>
      </c>
      <c r="D174" s="24">
        <v>0.35819094692379072</v>
      </c>
      <c r="E174" s="24">
        <v>0.36842497397875618</v>
      </c>
      <c r="F174" s="24">
        <v>1.0625</v>
      </c>
      <c r="G174" s="24">
        <v>0.22940328693276291</v>
      </c>
      <c r="H174" s="24">
        <v>0.21590897593671801</v>
      </c>
      <c r="I174" s="24">
        <v>1.7986111111111109</v>
      </c>
      <c r="J174" s="24">
        <v>0.30934839104231071</v>
      </c>
      <c r="K174" s="24">
        <v>0.17199292783819589</v>
      </c>
      <c r="L174" s="20" t="s">
        <v>500</v>
      </c>
      <c r="M174" s="21">
        <f t="shared" si="2"/>
        <v>0.75632687775367002</v>
      </c>
    </row>
    <row r="175" spans="1:13" x14ac:dyDescent="0.3">
      <c r="A175" s="20" t="s">
        <v>350</v>
      </c>
      <c r="B175" s="20">
        <v>329</v>
      </c>
      <c r="C175" s="24">
        <v>1</v>
      </c>
      <c r="D175" s="24">
        <v>0.2220717867186362</v>
      </c>
      <c r="E175" s="24">
        <v>0.2220717867186362</v>
      </c>
      <c r="F175" s="24">
        <v>1.0501519756838911</v>
      </c>
      <c r="G175" s="24">
        <v>0.11927949574538441</v>
      </c>
      <c r="H175" s="24">
        <v>0.1135830798848957</v>
      </c>
      <c r="I175" s="24">
        <v>1.504559270516717</v>
      </c>
      <c r="J175" s="24">
        <v>0.25326652433471691</v>
      </c>
      <c r="K175" s="24">
        <v>0.16833270001236739</v>
      </c>
      <c r="L175" s="20" t="s">
        <v>498</v>
      </c>
      <c r="M175" s="21">
        <f t="shared" si="2"/>
        <v>0.50398756661589927</v>
      </c>
    </row>
    <row r="176" spans="1:13" x14ac:dyDescent="0.3">
      <c r="A176" s="20" t="s">
        <v>352</v>
      </c>
      <c r="B176" s="20">
        <v>10.5</v>
      </c>
      <c r="C176" s="24">
        <v>0.8571428571428571</v>
      </c>
      <c r="D176" s="24">
        <v>4.0816326530612242E-2</v>
      </c>
      <c r="E176" s="24">
        <v>4.7619047619047623E-2</v>
      </c>
      <c r="F176" s="24">
        <v>0.80952380952380953</v>
      </c>
      <c r="G176" s="24">
        <v>6.1266467510686151E-2</v>
      </c>
      <c r="H176" s="24">
        <v>7.5682106924965242E-2</v>
      </c>
      <c r="I176" s="24">
        <v>1.0952380952380949</v>
      </c>
      <c r="J176" s="24">
        <v>0.15207966110754839</v>
      </c>
      <c r="K176" s="24">
        <v>0.13885534275037029</v>
      </c>
      <c r="L176" s="20" t="s">
        <v>502</v>
      </c>
      <c r="M176" s="21">
        <f t="shared" si="2"/>
        <v>0.26215649729438317</v>
      </c>
    </row>
    <row r="177" spans="1:13" x14ac:dyDescent="0.3">
      <c r="A177" s="20" t="s">
        <v>354</v>
      </c>
      <c r="B177" s="20">
        <v>11</v>
      </c>
      <c r="C177" s="24">
        <v>1.0909090909090911</v>
      </c>
      <c r="D177" s="24">
        <v>0.54545454545454541</v>
      </c>
      <c r="E177" s="24">
        <v>0.5</v>
      </c>
      <c r="F177" s="24">
        <v>1.2727272727272729</v>
      </c>
      <c r="G177" s="24">
        <v>0.36363636363636359</v>
      </c>
      <c r="H177" s="24">
        <v>0.2857142857142857</v>
      </c>
      <c r="I177" s="24">
        <v>1.1818181818181821</v>
      </c>
      <c r="J177" s="24">
        <v>0</v>
      </c>
      <c r="K177" s="24">
        <v>0</v>
      </c>
      <c r="L177" s="20" t="s">
        <v>500</v>
      </c>
      <c r="M177" s="21">
        <f t="shared" si="2"/>
        <v>0.7857142857142857</v>
      </c>
    </row>
    <row r="178" spans="1:13" x14ac:dyDescent="0.3">
      <c r="A178" s="20" t="s">
        <v>356</v>
      </c>
      <c r="B178" s="20">
        <v>856.5</v>
      </c>
      <c r="C178" s="24">
        <v>0.87157034442498538</v>
      </c>
      <c r="D178" s="24">
        <v>0.19083991378865539</v>
      </c>
      <c r="E178" s="24">
        <v>0.21896099954451889</v>
      </c>
      <c r="F178" s="24">
        <v>0.89025102159953295</v>
      </c>
      <c r="G178" s="24">
        <v>7.5334004650871159E-2</v>
      </c>
      <c r="H178" s="24">
        <v>8.4621081945535928E-2</v>
      </c>
      <c r="I178" s="24">
        <v>1.6141272621132521</v>
      </c>
      <c r="J178" s="24">
        <v>0.38309114126359251</v>
      </c>
      <c r="K178" s="24">
        <v>0.2373363923994698</v>
      </c>
      <c r="L178" s="20" t="s">
        <v>498</v>
      </c>
      <c r="M178" s="21">
        <f t="shared" si="2"/>
        <v>0.54091847388952463</v>
      </c>
    </row>
    <row r="179" spans="1:13" x14ac:dyDescent="0.3">
      <c r="A179" s="20" t="s">
        <v>358</v>
      </c>
      <c r="B179" s="20">
        <v>10.5</v>
      </c>
      <c r="C179" s="24">
        <v>1.142857142857143</v>
      </c>
      <c r="D179" s="24">
        <v>0.1096905816095041</v>
      </c>
      <c r="E179" s="24">
        <v>9.5979258908316059E-2</v>
      </c>
      <c r="F179" s="24">
        <v>0.90476190476190477</v>
      </c>
      <c r="G179" s="24">
        <v>6.4216790288010403E-2</v>
      </c>
      <c r="H179" s="24">
        <v>7.097645242359045E-2</v>
      </c>
      <c r="I179" s="24">
        <v>0.90476190476190477</v>
      </c>
      <c r="J179" s="24">
        <v>0.14921255216654969</v>
      </c>
      <c r="K179" s="24">
        <v>0.1649191366051338</v>
      </c>
      <c r="L179" s="20" t="s">
        <v>501</v>
      </c>
      <c r="M179" s="21">
        <f t="shared" si="2"/>
        <v>0.33187484793704031</v>
      </c>
    </row>
    <row r="180" spans="1:13" x14ac:dyDescent="0.3">
      <c r="A180" s="20" t="s">
        <v>360</v>
      </c>
      <c r="B180" s="20">
        <v>19</v>
      </c>
      <c r="C180" s="24">
        <v>0.55263157894736847</v>
      </c>
      <c r="D180" s="24">
        <v>3.9223828970931567E-2</v>
      </c>
      <c r="E180" s="24">
        <v>7.097645242359045E-2</v>
      </c>
      <c r="F180" s="24">
        <v>0.71052631578947367</v>
      </c>
      <c r="G180" s="24">
        <v>0.23977625561640181</v>
      </c>
      <c r="H180" s="24">
        <v>0.33746287827493587</v>
      </c>
      <c r="I180" s="24">
        <v>1.4473684210526321</v>
      </c>
      <c r="J180" s="24">
        <v>0.1097071819851128</v>
      </c>
      <c r="K180" s="24">
        <v>7.5797689371532445E-2</v>
      </c>
      <c r="L180" s="20" t="s">
        <v>498</v>
      </c>
      <c r="M180" s="21">
        <f t="shared" si="2"/>
        <v>0.48423702007005875</v>
      </c>
    </row>
    <row r="181" spans="1:13" x14ac:dyDescent="0.3">
      <c r="A181" s="20" t="s">
        <v>362</v>
      </c>
      <c r="B181" s="20">
        <v>151</v>
      </c>
      <c r="C181" s="24">
        <v>0.86092715231788075</v>
      </c>
      <c r="D181" s="24">
        <v>0.22585787181842679</v>
      </c>
      <c r="E181" s="24">
        <v>0.26234260495832651</v>
      </c>
      <c r="F181" s="24">
        <v>1.0132450331125831</v>
      </c>
      <c r="G181" s="24">
        <v>0.1786443388992266</v>
      </c>
      <c r="H181" s="24">
        <v>0.17630911878289679</v>
      </c>
      <c r="I181" s="24">
        <v>1.711920529801324</v>
      </c>
      <c r="J181" s="24">
        <v>0.15293815398867611</v>
      </c>
      <c r="K181" s="24">
        <v>8.9337180859922982E-2</v>
      </c>
      <c r="L181" s="20" t="s">
        <v>498</v>
      </c>
      <c r="M181" s="21">
        <f t="shared" si="2"/>
        <v>0.52798890460114634</v>
      </c>
    </row>
    <row r="182" spans="1:13" x14ac:dyDescent="0.3">
      <c r="A182" s="20" t="s">
        <v>364</v>
      </c>
      <c r="B182" s="20">
        <v>1761</v>
      </c>
      <c r="C182" s="24">
        <v>0.83276547416240776</v>
      </c>
      <c r="D182" s="24">
        <v>0.28212466380272749</v>
      </c>
      <c r="E182" s="24">
        <v>0.338780452067237</v>
      </c>
      <c r="F182" s="24">
        <v>1.0539466212379329</v>
      </c>
      <c r="G182" s="24">
        <v>0.22358146481485811</v>
      </c>
      <c r="H182" s="24">
        <v>0.21213737044125269</v>
      </c>
      <c r="I182" s="24">
        <v>1.651618398637138</v>
      </c>
      <c r="J182" s="24">
        <v>0.39462506433435668</v>
      </c>
      <c r="K182" s="24">
        <v>0.238932349421627</v>
      </c>
      <c r="L182" s="20" t="s">
        <v>500</v>
      </c>
      <c r="M182" s="21">
        <f t="shared" si="2"/>
        <v>0.78985017193011664</v>
      </c>
    </row>
    <row r="183" spans="1:13" x14ac:dyDescent="0.3">
      <c r="A183" s="20" t="s">
        <v>366</v>
      </c>
      <c r="B183" s="20">
        <v>742</v>
      </c>
      <c r="C183" s="24">
        <v>0.98450134770889486</v>
      </c>
      <c r="D183" s="24">
        <v>0.23861228978112869</v>
      </c>
      <c r="E183" s="24">
        <v>0.24236867764215941</v>
      </c>
      <c r="F183" s="24">
        <v>1.10377358490566</v>
      </c>
      <c r="G183" s="24">
        <v>0.12901737041340181</v>
      </c>
      <c r="H183" s="24">
        <v>0.1168875321694068</v>
      </c>
      <c r="I183" s="24">
        <v>1.725741239892183</v>
      </c>
      <c r="J183" s="24">
        <v>0.26502748853093022</v>
      </c>
      <c r="K183" s="24">
        <v>0.153573132752792</v>
      </c>
      <c r="L183" s="20" t="s">
        <v>498</v>
      </c>
      <c r="M183" s="21">
        <f t="shared" si="2"/>
        <v>0.51282934256435819</v>
      </c>
    </row>
    <row r="184" spans="1:13" x14ac:dyDescent="0.3">
      <c r="A184" s="20" t="s">
        <v>368</v>
      </c>
      <c r="B184" s="20">
        <v>23.5</v>
      </c>
      <c r="C184" s="24">
        <v>1.1702127659574471</v>
      </c>
      <c r="D184" s="24">
        <v>0.2292551937234974</v>
      </c>
      <c r="E184" s="24">
        <v>0.1959089837273523</v>
      </c>
      <c r="F184" s="24">
        <v>0.85106382978723405</v>
      </c>
      <c r="G184" s="24">
        <v>0.1337063877800819</v>
      </c>
      <c r="H184" s="24">
        <v>0.15710500564159621</v>
      </c>
      <c r="I184" s="24">
        <v>1.5106382978723401</v>
      </c>
      <c r="J184" s="24">
        <v>0.29544556684945789</v>
      </c>
      <c r="K184" s="24">
        <v>0.1955766428440073</v>
      </c>
      <c r="L184" s="20" t="s">
        <v>498</v>
      </c>
      <c r="M184" s="21">
        <f t="shared" si="2"/>
        <v>0.54859063221295579</v>
      </c>
    </row>
    <row r="185" spans="1:13" x14ac:dyDescent="0.3">
      <c r="A185" s="20" t="s">
        <v>370</v>
      </c>
      <c r="B185" s="20">
        <v>5.5</v>
      </c>
      <c r="C185" s="24">
        <v>1.2727272727272729</v>
      </c>
      <c r="D185" s="24">
        <v>0.57851239669421484</v>
      </c>
      <c r="E185" s="24">
        <v>0.45454545454545447</v>
      </c>
      <c r="F185" s="24">
        <v>2.0909090909090908</v>
      </c>
      <c r="G185" s="24">
        <v>0.95475114953071571</v>
      </c>
      <c r="H185" s="24">
        <v>0.45662011499295102</v>
      </c>
      <c r="I185" s="24">
        <v>2.454545454545455</v>
      </c>
      <c r="J185" s="24">
        <v>1.204742127034153</v>
      </c>
      <c r="K185" s="24">
        <v>0.49082086656946972</v>
      </c>
      <c r="L185" s="20" t="s">
        <v>500</v>
      </c>
      <c r="M185" s="21">
        <f t="shared" si="2"/>
        <v>1.4019864361078753</v>
      </c>
    </row>
    <row r="186" spans="1:13" x14ac:dyDescent="0.3">
      <c r="A186" s="20" t="s">
        <v>372</v>
      </c>
      <c r="B186" s="20">
        <v>89</v>
      </c>
      <c r="C186" s="24">
        <v>1.230337078651685</v>
      </c>
      <c r="D186" s="24">
        <v>3.9413893895345047E-2</v>
      </c>
      <c r="E186" s="24">
        <v>3.2035037047358078E-2</v>
      </c>
      <c r="F186" s="24">
        <v>1.0730337078651691</v>
      </c>
      <c r="G186" s="24">
        <v>5.6017299157770289E-2</v>
      </c>
      <c r="H186" s="24">
        <v>5.2204603403576487E-2</v>
      </c>
      <c r="I186" s="24">
        <v>1.657303370786517</v>
      </c>
      <c r="J186" s="24">
        <v>0.12371629330262859</v>
      </c>
      <c r="K186" s="24">
        <v>7.4649153247009797E-2</v>
      </c>
      <c r="L186" s="20" t="s">
        <v>502</v>
      </c>
      <c r="M186" s="21">
        <f t="shared" si="2"/>
        <v>0.15888879369794437</v>
      </c>
    </row>
    <row r="187" spans="1:13" x14ac:dyDescent="0.3">
      <c r="A187" s="20" t="s">
        <v>374</v>
      </c>
      <c r="B187" s="20">
        <v>490.5</v>
      </c>
      <c r="C187" s="24">
        <v>0.79306829765545361</v>
      </c>
      <c r="D187" s="24">
        <v>0.19810014191607639</v>
      </c>
      <c r="E187" s="24">
        <v>0.2497895105651298</v>
      </c>
      <c r="F187" s="24">
        <v>1.0958205912334349</v>
      </c>
      <c r="G187" s="24">
        <v>0.16774209850224669</v>
      </c>
      <c r="H187" s="24">
        <v>0.15307441733088739</v>
      </c>
      <c r="I187" s="24">
        <v>1.620795107033639</v>
      </c>
      <c r="J187" s="24">
        <v>0.26581589452899268</v>
      </c>
      <c r="K187" s="24">
        <v>0.16400339153015209</v>
      </c>
      <c r="L187" s="20" t="s">
        <v>499</v>
      </c>
      <c r="M187" s="21">
        <f t="shared" si="2"/>
        <v>0.5668673194261693</v>
      </c>
    </row>
    <row r="188" spans="1:13" x14ac:dyDescent="0.3">
      <c r="A188" s="20" t="s">
        <v>376</v>
      </c>
      <c r="B188" s="20">
        <v>55</v>
      </c>
      <c r="C188" s="24">
        <v>0.76363636363636367</v>
      </c>
      <c r="D188" s="24">
        <v>9.1507571711978611E-2</v>
      </c>
      <c r="E188" s="24">
        <v>0.1198313439085434</v>
      </c>
      <c r="F188" s="24">
        <v>0.9</v>
      </c>
      <c r="G188" s="24">
        <v>0.1678350232857323</v>
      </c>
      <c r="H188" s="24">
        <v>0.18648335920636919</v>
      </c>
      <c r="I188" s="24">
        <v>1.4090909090909089</v>
      </c>
      <c r="J188" s="24">
        <v>0.29987247705149461</v>
      </c>
      <c r="K188" s="24">
        <v>0.2128127256494477</v>
      </c>
      <c r="L188" s="20" t="s">
        <v>498</v>
      </c>
      <c r="M188" s="21">
        <f t="shared" si="2"/>
        <v>0.51912742876436035</v>
      </c>
    </row>
    <row r="189" spans="1:13" x14ac:dyDescent="0.3">
      <c r="A189" s="20" t="s">
        <v>378</v>
      </c>
      <c r="B189" s="20">
        <v>317.5</v>
      </c>
      <c r="C189" s="24">
        <v>0.77795275590551183</v>
      </c>
      <c r="D189" s="24">
        <v>0.2233167596854557</v>
      </c>
      <c r="E189" s="24">
        <v>0.28705696842158768</v>
      </c>
      <c r="F189" s="24">
        <v>0.91968503937007873</v>
      </c>
      <c r="G189" s="24">
        <v>0.1179666854757658</v>
      </c>
      <c r="H189" s="24">
        <v>0.12826857067998509</v>
      </c>
      <c r="I189" s="24">
        <v>1.585826771653543</v>
      </c>
      <c r="J189" s="24">
        <v>0.16056804388158111</v>
      </c>
      <c r="K189" s="24">
        <v>0.10125194425501879</v>
      </c>
      <c r="L189" s="20" t="s">
        <v>498</v>
      </c>
      <c r="M189" s="21">
        <f t="shared" si="2"/>
        <v>0.51657748335659159</v>
      </c>
    </row>
    <row r="190" spans="1:13" x14ac:dyDescent="0.3">
      <c r="A190" s="20" t="s">
        <v>380</v>
      </c>
      <c r="B190" s="20">
        <v>849.5</v>
      </c>
      <c r="C190" s="24">
        <v>0.79281930547380808</v>
      </c>
      <c r="D190" s="24">
        <v>0.16155555143358749</v>
      </c>
      <c r="E190" s="24">
        <v>0.20377348321133279</v>
      </c>
      <c r="F190" s="24">
        <v>0.90876986462625076</v>
      </c>
      <c r="G190" s="24">
        <v>0.11045041485241899</v>
      </c>
      <c r="H190" s="24">
        <v>0.12153837748332889</v>
      </c>
      <c r="I190" s="24">
        <v>1.583872866391995</v>
      </c>
      <c r="J190" s="24">
        <v>0.22905487723521781</v>
      </c>
      <c r="K190" s="24">
        <v>0.14461695890844861</v>
      </c>
      <c r="L190" s="20" t="s">
        <v>498</v>
      </c>
      <c r="M190" s="21">
        <f t="shared" si="2"/>
        <v>0.46992881960311028</v>
      </c>
    </row>
    <row r="191" spans="1:13" x14ac:dyDescent="0.3">
      <c r="A191" s="20" t="s">
        <v>380</v>
      </c>
      <c r="B191" s="20">
        <v>813.5</v>
      </c>
      <c r="C191" s="24">
        <v>0.87768899815611556</v>
      </c>
      <c r="D191" s="24">
        <v>0.17467618574308269</v>
      </c>
      <c r="E191" s="24">
        <v>0.19901831526890451</v>
      </c>
      <c r="F191" s="24">
        <v>0.9465273509526736</v>
      </c>
      <c r="G191" s="24">
        <v>0.20985192176947229</v>
      </c>
      <c r="H191" s="24">
        <v>0.22170719267463079</v>
      </c>
      <c r="I191" s="24">
        <v>1.732022126613399</v>
      </c>
      <c r="J191" s="24">
        <v>0.51418361133189316</v>
      </c>
      <c r="K191" s="24">
        <v>0.29686896225585169</v>
      </c>
      <c r="L191" s="20" t="s">
        <v>500</v>
      </c>
      <c r="M191" s="21">
        <f t="shared" si="2"/>
        <v>0.71759447019938705</v>
      </c>
    </row>
    <row r="192" spans="1:13" x14ac:dyDescent="0.3">
      <c r="A192" s="20" t="s">
        <v>382</v>
      </c>
      <c r="B192" s="20">
        <v>61</v>
      </c>
      <c r="C192" s="24">
        <v>1.1065573770491799</v>
      </c>
      <c r="D192" s="24">
        <v>2.4590163934426229E-2</v>
      </c>
      <c r="E192" s="24">
        <v>2.222222222222222E-2</v>
      </c>
      <c r="F192" s="24">
        <v>1.0081967213114751</v>
      </c>
      <c r="G192" s="24">
        <v>4.0983606557377053E-2</v>
      </c>
      <c r="H192" s="24">
        <v>4.065040650406504E-2</v>
      </c>
      <c r="I192" s="24">
        <v>1.3852459016393439</v>
      </c>
      <c r="J192" s="24">
        <v>0.27049180327868849</v>
      </c>
      <c r="K192" s="24">
        <v>0.19526627218934911</v>
      </c>
      <c r="L192" s="20" t="s">
        <v>502</v>
      </c>
      <c r="M192" s="21">
        <f t="shared" si="2"/>
        <v>0.2581389009156364</v>
      </c>
    </row>
    <row r="193" spans="1:13" x14ac:dyDescent="0.3">
      <c r="A193" s="20" t="s">
        <v>384</v>
      </c>
      <c r="B193" s="20">
        <v>171.5</v>
      </c>
      <c r="C193" s="24">
        <v>0.88046647230320696</v>
      </c>
      <c r="D193" s="24">
        <v>0.10271068179187021</v>
      </c>
      <c r="E193" s="24">
        <v>0.1166548472007003</v>
      </c>
      <c r="F193" s="24">
        <v>1.058309037900875</v>
      </c>
      <c r="G193" s="24">
        <v>0.16537303411717641</v>
      </c>
      <c r="H193" s="24">
        <v>0.15626157218234579</v>
      </c>
      <c r="I193" s="24">
        <v>1.6822157434402329</v>
      </c>
      <c r="J193" s="24">
        <v>0.25562978330657732</v>
      </c>
      <c r="K193" s="24">
        <v>0.15196016581309529</v>
      </c>
      <c r="L193" s="20" t="s">
        <v>501</v>
      </c>
      <c r="M193" s="21">
        <f t="shared" si="2"/>
        <v>0.42487658519614141</v>
      </c>
    </row>
    <row r="194" spans="1:13" x14ac:dyDescent="0.3">
      <c r="A194" s="20" t="s">
        <v>386</v>
      </c>
      <c r="B194" s="20">
        <v>32.5</v>
      </c>
      <c r="C194" s="24">
        <v>1.107692307692308</v>
      </c>
      <c r="D194" s="24">
        <v>0.46185296521613872</v>
      </c>
      <c r="E194" s="24">
        <v>0.41695059359790299</v>
      </c>
      <c r="F194" s="24">
        <v>1.1692307692307691</v>
      </c>
      <c r="G194" s="24">
        <v>6.4113620651690462E-2</v>
      </c>
      <c r="H194" s="24">
        <v>5.4834017662629998E-2</v>
      </c>
      <c r="I194" s="24">
        <v>1.9692307692307689</v>
      </c>
      <c r="J194" s="24">
        <v>0.15680075913238919</v>
      </c>
      <c r="K194" s="24">
        <v>7.9625385496916404E-2</v>
      </c>
      <c r="L194" s="20" t="s">
        <v>499</v>
      </c>
      <c r="M194" s="21">
        <f t="shared" si="2"/>
        <v>0.55140999675744939</v>
      </c>
    </row>
    <row r="195" spans="1:13" x14ac:dyDescent="0.3">
      <c r="A195" s="20" t="s">
        <v>388</v>
      </c>
      <c r="B195" s="20">
        <v>33.5</v>
      </c>
      <c r="C195" s="24">
        <v>0.82089552238805974</v>
      </c>
      <c r="D195" s="24">
        <v>0.18523079802058981</v>
      </c>
      <c r="E195" s="24">
        <v>0.22564479031599119</v>
      </c>
      <c r="F195" s="24">
        <v>0.76119402985074625</v>
      </c>
      <c r="G195" s="24">
        <v>9.1266430945072363E-2</v>
      </c>
      <c r="H195" s="24">
        <v>0.11989903673176169</v>
      </c>
      <c r="I195" s="24">
        <v>1.208955223880597</v>
      </c>
      <c r="J195" s="24">
        <v>0.18438549113613861</v>
      </c>
      <c r="K195" s="24">
        <v>0.15251639390273189</v>
      </c>
      <c r="L195" s="20" t="s">
        <v>498</v>
      </c>
      <c r="M195" s="21">
        <f t="shared" ref="M195:M241" si="3">E195+H195+K195</f>
        <v>0.49806022095048474</v>
      </c>
    </row>
    <row r="196" spans="1:13" x14ac:dyDescent="0.3">
      <c r="A196" s="20" t="s">
        <v>390</v>
      </c>
      <c r="B196" s="20">
        <v>789.5</v>
      </c>
      <c r="C196" s="24">
        <v>0.76567447751741613</v>
      </c>
      <c r="D196" s="24">
        <v>0.20291368023613809</v>
      </c>
      <c r="E196" s="24">
        <v>0.26501298684273122</v>
      </c>
      <c r="F196" s="24">
        <v>0.87080430652311591</v>
      </c>
      <c r="G196" s="24">
        <v>0.1832406178696348</v>
      </c>
      <c r="H196" s="24">
        <v>0.21042686226629331</v>
      </c>
      <c r="I196" s="24">
        <v>1.4407853071564281</v>
      </c>
      <c r="J196" s="24">
        <v>0.25642836972343691</v>
      </c>
      <c r="K196" s="24">
        <v>0.17797819595310191</v>
      </c>
      <c r="L196" s="20" t="s">
        <v>500</v>
      </c>
      <c r="M196" s="21">
        <f t="shared" si="3"/>
        <v>0.65341804506212642</v>
      </c>
    </row>
    <row r="197" spans="1:13" x14ac:dyDescent="0.3">
      <c r="A197" s="20" t="s">
        <v>392</v>
      </c>
      <c r="B197" s="20">
        <v>89.5</v>
      </c>
      <c r="C197" s="24">
        <v>0.82681564245810057</v>
      </c>
      <c r="D197" s="24">
        <v>0.2382911469673209</v>
      </c>
      <c r="E197" s="24">
        <v>0.28820348180507049</v>
      </c>
      <c r="F197" s="24">
        <v>0.8044692737430168</v>
      </c>
      <c r="G197" s="24">
        <v>6.0278484573768901E-2</v>
      </c>
      <c r="H197" s="24">
        <v>7.4929505129893284E-2</v>
      </c>
      <c r="I197" s="24">
        <v>1.3240223463687151</v>
      </c>
      <c r="J197" s="24">
        <v>0.18553844311889811</v>
      </c>
      <c r="K197" s="24">
        <v>0.1401324106256657</v>
      </c>
      <c r="L197" s="20" t="s">
        <v>498</v>
      </c>
      <c r="M197" s="21">
        <f t="shared" si="3"/>
        <v>0.50326539756062949</v>
      </c>
    </row>
    <row r="198" spans="1:13" x14ac:dyDescent="0.3">
      <c r="A198" s="20" t="s">
        <v>394</v>
      </c>
      <c r="B198" s="20">
        <v>1796.5</v>
      </c>
      <c r="C198" s="24">
        <v>0.78485944892847204</v>
      </c>
      <c r="D198" s="24">
        <v>0.136405849654856</v>
      </c>
      <c r="E198" s="24">
        <v>0.1737965311382616</v>
      </c>
      <c r="F198" s="24">
        <v>0.99053715558029498</v>
      </c>
      <c r="G198" s="24">
        <v>5.4390400361425062E-2</v>
      </c>
      <c r="H198" s="24">
        <v>5.4910005197696052E-2</v>
      </c>
      <c r="I198" s="24">
        <v>1.2919565822432511</v>
      </c>
      <c r="J198" s="24">
        <v>7.1402827416716316E-2</v>
      </c>
      <c r="K198" s="24">
        <v>5.5267203556282153E-2</v>
      </c>
      <c r="L198" s="20" t="s">
        <v>502</v>
      </c>
      <c r="M198" s="21">
        <f t="shared" si="3"/>
        <v>0.28397373989223984</v>
      </c>
    </row>
    <row r="199" spans="1:13" x14ac:dyDescent="0.3">
      <c r="A199" s="20" t="s">
        <v>396</v>
      </c>
      <c r="B199" s="20">
        <v>3321.5</v>
      </c>
      <c r="C199" s="24">
        <v>0.81830498268854435</v>
      </c>
      <c r="D199" s="24">
        <v>0.2008149871330642</v>
      </c>
      <c r="E199" s="24">
        <v>0.24540359814660509</v>
      </c>
      <c r="F199" s="24">
        <v>0.93813036278789708</v>
      </c>
      <c r="G199" s="24">
        <v>7.6972575765342E-2</v>
      </c>
      <c r="H199" s="24">
        <v>8.2048912196592882E-2</v>
      </c>
      <c r="I199" s="24">
        <v>1.536203522504892</v>
      </c>
      <c r="J199" s="24">
        <v>9.5259859882536879E-2</v>
      </c>
      <c r="K199" s="24">
        <v>6.2009921528632293E-2</v>
      </c>
      <c r="L199" s="20" t="s">
        <v>501</v>
      </c>
      <c r="M199" s="21">
        <f t="shared" si="3"/>
        <v>0.38946243187183027</v>
      </c>
    </row>
    <row r="200" spans="1:13" x14ac:dyDescent="0.3">
      <c r="A200" s="20" t="s">
        <v>398</v>
      </c>
      <c r="B200" s="20">
        <v>28.5</v>
      </c>
      <c r="C200" s="24">
        <v>0.91228070175438591</v>
      </c>
      <c r="D200" s="24">
        <v>8.0024622960911035E-2</v>
      </c>
      <c r="E200" s="24">
        <v>8.771929824561403E-2</v>
      </c>
      <c r="F200" s="24">
        <v>0.96491228070175439</v>
      </c>
      <c r="G200" s="24">
        <v>8.6440490324658698E-2</v>
      </c>
      <c r="H200" s="24">
        <v>8.9583780881919012E-2</v>
      </c>
      <c r="I200" s="24">
        <v>1.5263157894736841</v>
      </c>
      <c r="J200" s="24">
        <v>0.39199476335765071</v>
      </c>
      <c r="K200" s="24">
        <v>0.25682415530328828</v>
      </c>
      <c r="L200" s="20" t="s">
        <v>501</v>
      </c>
      <c r="M200" s="21">
        <f t="shared" si="3"/>
        <v>0.43412723443082135</v>
      </c>
    </row>
    <row r="201" spans="1:13" x14ac:dyDescent="0.3">
      <c r="A201" s="20" t="s">
        <v>400</v>
      </c>
      <c r="B201" s="20">
        <v>299</v>
      </c>
      <c r="C201" s="24">
        <v>0.97324414715719065</v>
      </c>
      <c r="D201" s="24">
        <v>0.35130630976677879</v>
      </c>
      <c r="E201" s="24">
        <v>0.36096421518992039</v>
      </c>
      <c r="F201" s="24">
        <v>0.98160535117056857</v>
      </c>
      <c r="G201" s="24">
        <v>8.5851086618639799E-2</v>
      </c>
      <c r="H201" s="24">
        <v>8.7459880405360471E-2</v>
      </c>
      <c r="I201" s="24">
        <v>1.57190635451505</v>
      </c>
      <c r="J201" s="24">
        <v>0.19462003735746669</v>
      </c>
      <c r="K201" s="24">
        <v>0.12381147057421819</v>
      </c>
      <c r="L201" s="20" t="s">
        <v>499</v>
      </c>
      <c r="M201" s="21">
        <f t="shared" si="3"/>
        <v>0.572235566169499</v>
      </c>
    </row>
    <row r="202" spans="1:13" x14ac:dyDescent="0.3">
      <c r="A202" s="20" t="s">
        <v>402</v>
      </c>
      <c r="B202" s="20">
        <v>16.5</v>
      </c>
      <c r="C202" s="24">
        <v>0.48484848484848492</v>
      </c>
      <c r="D202" s="24">
        <v>0.1028466483011938</v>
      </c>
      <c r="E202" s="24">
        <v>0.2121212121212121</v>
      </c>
      <c r="F202" s="24">
        <v>0.63636363636363635</v>
      </c>
      <c r="G202" s="24">
        <v>0.25142929386456497</v>
      </c>
      <c r="H202" s="24">
        <v>0.39510317607288781</v>
      </c>
      <c r="I202" s="24">
        <v>1.151515151515152</v>
      </c>
      <c r="J202" s="24">
        <v>0.38921805963623601</v>
      </c>
      <c r="K202" s="24">
        <v>0.33800515705252071</v>
      </c>
      <c r="L202" s="20" t="s">
        <v>500</v>
      </c>
      <c r="M202" s="21">
        <f t="shared" si="3"/>
        <v>0.94522954524662062</v>
      </c>
    </row>
    <row r="203" spans="1:13" x14ac:dyDescent="0.3">
      <c r="A203" s="20" t="s">
        <v>404</v>
      </c>
      <c r="B203" s="20">
        <v>63.5</v>
      </c>
      <c r="C203" s="24">
        <v>1.007874015748031</v>
      </c>
      <c r="D203" s="24">
        <v>0.23109444871386089</v>
      </c>
      <c r="E203" s="24">
        <v>0.22928902333328391</v>
      </c>
      <c r="F203" s="24">
        <v>1.007874015748031</v>
      </c>
      <c r="G203" s="24">
        <v>0.25164392316605422</v>
      </c>
      <c r="H203" s="24">
        <v>0.2496779550163194</v>
      </c>
      <c r="I203" s="24">
        <v>1.921259842519685</v>
      </c>
      <c r="J203" s="24">
        <v>0.35674293797857598</v>
      </c>
      <c r="K203" s="24">
        <v>0.1856817750954064</v>
      </c>
      <c r="L203" s="20" t="s">
        <v>500</v>
      </c>
      <c r="M203" s="21">
        <f t="shared" si="3"/>
        <v>0.66464875344500973</v>
      </c>
    </row>
    <row r="204" spans="1:13" x14ac:dyDescent="0.3">
      <c r="A204" s="20" t="s">
        <v>406</v>
      </c>
      <c r="B204" s="20">
        <v>462</v>
      </c>
      <c r="C204" s="24">
        <v>0.85497835497835495</v>
      </c>
      <c r="D204" s="24">
        <v>0.1775812765395047</v>
      </c>
      <c r="E204" s="24">
        <v>0.20770265762342069</v>
      </c>
      <c r="F204" s="24">
        <v>1.0119047619047621</v>
      </c>
      <c r="G204" s="24">
        <v>0.14437517605269379</v>
      </c>
      <c r="H204" s="24">
        <v>0.1426766445697209</v>
      </c>
      <c r="I204" s="24">
        <v>1.4696969696969699</v>
      </c>
      <c r="J204" s="24">
        <v>0.34389620903350232</v>
      </c>
      <c r="K204" s="24">
        <v>0.23399123501248609</v>
      </c>
      <c r="L204" s="20" t="s">
        <v>499</v>
      </c>
      <c r="M204" s="21">
        <f t="shared" si="3"/>
        <v>0.5843705372056277</v>
      </c>
    </row>
    <row r="205" spans="1:13" x14ac:dyDescent="0.3">
      <c r="A205" s="20" t="s">
        <v>408</v>
      </c>
      <c r="B205" s="20">
        <v>1613</v>
      </c>
      <c r="C205" s="24">
        <v>0.86391816491010542</v>
      </c>
      <c r="D205" s="24">
        <v>0.15049172689953741</v>
      </c>
      <c r="E205" s="24">
        <v>0.1741967387792995</v>
      </c>
      <c r="F205" s="24">
        <v>0.96373217606943584</v>
      </c>
      <c r="G205" s="24">
        <v>8.5954327489529123E-2</v>
      </c>
      <c r="H205" s="24">
        <v>8.9189019131946268E-2</v>
      </c>
      <c r="I205" s="24">
        <v>1.696838189708618</v>
      </c>
      <c r="J205" s="24">
        <v>0.1215955717872816</v>
      </c>
      <c r="K205" s="24">
        <v>7.1660086698167785E-2</v>
      </c>
      <c r="L205" s="20" t="s">
        <v>501</v>
      </c>
      <c r="M205" s="21">
        <f t="shared" si="3"/>
        <v>0.33504584460941356</v>
      </c>
    </row>
    <row r="206" spans="1:13" x14ac:dyDescent="0.3">
      <c r="A206" s="20" t="s">
        <v>410</v>
      </c>
      <c r="B206" s="20">
        <v>12.5</v>
      </c>
      <c r="C206" s="24">
        <v>0.56000000000000005</v>
      </c>
      <c r="D206" s="24">
        <v>0.24104306669141101</v>
      </c>
      <c r="E206" s="24">
        <v>0.43043404766323379</v>
      </c>
      <c r="F206" s="24">
        <v>0.6</v>
      </c>
      <c r="G206" s="24">
        <v>4.6647615158762402E-2</v>
      </c>
      <c r="H206" s="24">
        <v>7.7746025264604002E-2</v>
      </c>
      <c r="I206" s="24">
        <v>0.68</v>
      </c>
      <c r="J206" s="24">
        <v>0.1230440571502744</v>
      </c>
      <c r="K206" s="24">
        <v>0.18094714286805061</v>
      </c>
      <c r="L206" s="20" t="s">
        <v>500</v>
      </c>
      <c r="M206" s="21">
        <f t="shared" si="3"/>
        <v>0.68912721579588843</v>
      </c>
    </row>
    <row r="207" spans="1:13" x14ac:dyDescent="0.3">
      <c r="A207" s="20" t="s">
        <v>412</v>
      </c>
      <c r="B207" s="20">
        <v>11.5</v>
      </c>
      <c r="C207" s="24">
        <v>0.60869565217391308</v>
      </c>
      <c r="D207" s="24">
        <v>0.27268390049537938</v>
      </c>
      <c r="E207" s="24">
        <v>0.44798069367098042</v>
      </c>
      <c r="F207" s="24">
        <v>0.78260869565217395</v>
      </c>
      <c r="G207" s="24">
        <v>0.20165800155908639</v>
      </c>
      <c r="H207" s="24">
        <v>0.25767411310327698</v>
      </c>
      <c r="I207" s="24">
        <v>1.173913043478261</v>
      </c>
      <c r="J207" s="24">
        <v>0.34069496000228072</v>
      </c>
      <c r="K207" s="24">
        <v>0.29022163259453537</v>
      </c>
      <c r="L207" s="20" t="s">
        <v>500</v>
      </c>
      <c r="M207" s="21">
        <f t="shared" si="3"/>
        <v>0.99587643936879278</v>
      </c>
    </row>
    <row r="208" spans="1:13" x14ac:dyDescent="0.3">
      <c r="A208" s="20" t="s">
        <v>414</v>
      </c>
      <c r="B208" s="20">
        <v>7.5</v>
      </c>
      <c r="C208" s="24">
        <v>0.93333333333333335</v>
      </c>
      <c r="D208" s="24">
        <v>0.22939534045446999</v>
      </c>
      <c r="E208" s="24">
        <v>0.2457807219155036</v>
      </c>
      <c r="F208" s="24">
        <v>1.2</v>
      </c>
      <c r="G208" s="24">
        <v>0.46647615158762401</v>
      </c>
      <c r="H208" s="24">
        <v>0.38873012632302001</v>
      </c>
      <c r="I208" s="24">
        <v>1</v>
      </c>
      <c r="J208" s="24">
        <v>0.38873012632302001</v>
      </c>
      <c r="K208" s="24">
        <v>0.38873012632302001</v>
      </c>
      <c r="L208" s="20" t="s">
        <v>500</v>
      </c>
      <c r="M208" s="21">
        <f t="shared" si="3"/>
        <v>1.0232409745615436</v>
      </c>
    </row>
    <row r="209" spans="1:13" x14ac:dyDescent="0.3">
      <c r="A209" s="20" t="s">
        <v>416</v>
      </c>
      <c r="B209" s="20">
        <v>37.5</v>
      </c>
      <c r="C209" s="24">
        <v>0.90666666666666662</v>
      </c>
      <c r="D209" s="24">
        <v>0.22173101266017939</v>
      </c>
      <c r="E209" s="24">
        <v>0.24455626396343319</v>
      </c>
      <c r="F209" s="24">
        <v>1.013333333333333</v>
      </c>
      <c r="G209" s="24">
        <v>0.12625977532134899</v>
      </c>
      <c r="H209" s="24">
        <v>0.1245984624881734</v>
      </c>
      <c r="I209" s="24">
        <v>1.6133333333333331</v>
      </c>
      <c r="J209" s="24">
        <v>0.2039917693812881</v>
      </c>
      <c r="K209" s="24">
        <v>0.126441179368567</v>
      </c>
      <c r="L209" s="20" t="s">
        <v>498</v>
      </c>
      <c r="M209" s="21">
        <f t="shared" si="3"/>
        <v>0.49559590582017354</v>
      </c>
    </row>
    <row r="210" spans="1:13" x14ac:dyDescent="0.3">
      <c r="A210" s="20" t="s">
        <v>418</v>
      </c>
      <c r="B210" s="20">
        <v>889</v>
      </c>
      <c r="C210" s="24">
        <v>0.81889763779527558</v>
      </c>
      <c r="D210" s="24">
        <v>0.29468035247757091</v>
      </c>
      <c r="E210" s="24">
        <v>0.3598500458139568</v>
      </c>
      <c r="F210" s="24">
        <v>0.99381327334083236</v>
      </c>
      <c r="G210" s="24">
        <v>0.1099849812598605</v>
      </c>
      <c r="H210" s="24">
        <v>0.110669664221863</v>
      </c>
      <c r="I210" s="24">
        <v>1.536557930258718</v>
      </c>
      <c r="J210" s="24">
        <v>0.15902345251691871</v>
      </c>
      <c r="K210" s="24">
        <v>0.1034933010889757</v>
      </c>
      <c r="L210" s="20" t="s">
        <v>499</v>
      </c>
      <c r="M210" s="21">
        <f t="shared" si="3"/>
        <v>0.57401301112479552</v>
      </c>
    </row>
    <row r="211" spans="1:13" x14ac:dyDescent="0.3">
      <c r="A211" s="20" t="s">
        <v>420</v>
      </c>
      <c r="B211" s="20">
        <v>84</v>
      </c>
      <c r="C211" s="24">
        <v>0.84523809523809523</v>
      </c>
      <c r="D211" s="24">
        <v>0.1127622841722007</v>
      </c>
      <c r="E211" s="24">
        <v>0.13340889958401209</v>
      </c>
      <c r="F211" s="24">
        <v>0.94047619047619047</v>
      </c>
      <c r="G211" s="24">
        <v>7.6080497945369321E-2</v>
      </c>
      <c r="H211" s="24">
        <v>8.0895719334316746E-2</v>
      </c>
      <c r="I211" s="24">
        <v>1.125</v>
      </c>
      <c r="J211" s="24">
        <v>0.2456574373606715</v>
      </c>
      <c r="K211" s="24">
        <v>0.21836216654281909</v>
      </c>
      <c r="L211" s="20" t="s">
        <v>501</v>
      </c>
      <c r="M211" s="21">
        <f t="shared" si="3"/>
        <v>0.4326667854611479</v>
      </c>
    </row>
    <row r="212" spans="1:13" x14ac:dyDescent="0.3">
      <c r="A212" s="20" t="s">
        <v>422</v>
      </c>
      <c r="B212" s="20">
        <v>1482</v>
      </c>
      <c r="C212" s="24">
        <v>0.9477058029689609</v>
      </c>
      <c r="D212" s="24">
        <v>0.16453845955566329</v>
      </c>
      <c r="E212" s="24">
        <v>0.17361765543716129</v>
      </c>
      <c r="F212" s="24">
        <v>0.99527665317139002</v>
      </c>
      <c r="G212" s="24">
        <v>0.14436782736129539</v>
      </c>
      <c r="H212" s="24">
        <v>0.1450529628131795</v>
      </c>
      <c r="I212" s="24">
        <v>1.653171390013495</v>
      </c>
      <c r="J212" s="24">
        <v>0.24722174442114889</v>
      </c>
      <c r="K212" s="24">
        <v>0.14954392866618069</v>
      </c>
      <c r="L212" s="20" t="s">
        <v>498</v>
      </c>
      <c r="M212" s="21">
        <f t="shared" si="3"/>
        <v>0.46821454691652153</v>
      </c>
    </row>
    <row r="213" spans="1:13" x14ac:dyDescent="0.3">
      <c r="A213" s="20" t="s">
        <v>424</v>
      </c>
      <c r="B213" s="20">
        <v>157.5</v>
      </c>
      <c r="C213" s="24">
        <v>0.91111111111111109</v>
      </c>
      <c r="D213" s="24">
        <v>0.22808590408490231</v>
      </c>
      <c r="E213" s="24">
        <v>0.25033818741025871</v>
      </c>
      <c r="F213" s="24">
        <v>1.044444444444445</v>
      </c>
      <c r="G213" s="24">
        <v>0.22488204124983921</v>
      </c>
      <c r="H213" s="24">
        <v>0.21531259268601621</v>
      </c>
      <c r="I213" s="24">
        <v>1.6730158730158731</v>
      </c>
      <c r="J213" s="24">
        <v>0.24990678585752479</v>
      </c>
      <c r="K213" s="24">
        <v>0.14937502380478229</v>
      </c>
      <c r="L213" s="20" t="s">
        <v>499</v>
      </c>
      <c r="M213" s="21">
        <f t="shared" si="3"/>
        <v>0.61502580390105721</v>
      </c>
    </row>
    <row r="214" spans="1:13" x14ac:dyDescent="0.3">
      <c r="A214" s="20" t="s">
        <v>426</v>
      </c>
      <c r="B214" s="20">
        <v>2092.5</v>
      </c>
      <c r="C214" s="24">
        <v>1.0317801672640381</v>
      </c>
      <c r="D214" s="24">
        <v>4.2798440685798328E-2</v>
      </c>
      <c r="E214" s="24">
        <v>4.1480193207518758E-2</v>
      </c>
      <c r="F214" s="24">
        <v>0.89964157706093195</v>
      </c>
      <c r="G214" s="24">
        <v>3.0749061378014499E-2</v>
      </c>
      <c r="H214" s="24">
        <v>3.4179235555641618E-2</v>
      </c>
      <c r="I214" s="24">
        <v>1.2475507765830349</v>
      </c>
      <c r="J214" s="24">
        <v>0.1511419006467036</v>
      </c>
      <c r="K214" s="24">
        <v>0.1211509010163675</v>
      </c>
      <c r="L214" s="20" t="s">
        <v>502</v>
      </c>
      <c r="M214" s="21">
        <f t="shared" si="3"/>
        <v>0.19681032977952787</v>
      </c>
    </row>
    <row r="215" spans="1:13" x14ac:dyDescent="0.3">
      <c r="A215" s="20" t="s">
        <v>428</v>
      </c>
      <c r="B215" s="20">
        <v>4486</v>
      </c>
      <c r="C215" s="24">
        <v>0.88096299598751671</v>
      </c>
      <c r="D215" s="24">
        <v>0.16919975979529911</v>
      </c>
      <c r="E215" s="24">
        <v>0.19206227794577721</v>
      </c>
      <c r="F215" s="24">
        <v>0.94783771734284439</v>
      </c>
      <c r="G215" s="24">
        <v>0.1019515624197143</v>
      </c>
      <c r="H215" s="24">
        <v>0.1075622551775255</v>
      </c>
      <c r="I215" s="24">
        <v>1.5903923316986179</v>
      </c>
      <c r="J215" s="24">
        <v>0.1696209285400111</v>
      </c>
      <c r="K215" s="24">
        <v>0.10665351256997541</v>
      </c>
      <c r="L215" s="20" t="s">
        <v>501</v>
      </c>
      <c r="M215" s="21">
        <f t="shared" si="3"/>
        <v>0.40627804569327813</v>
      </c>
    </row>
    <row r="216" spans="1:13" x14ac:dyDescent="0.3">
      <c r="A216" s="20" t="s">
        <v>430</v>
      </c>
      <c r="B216" s="20">
        <v>279.5</v>
      </c>
      <c r="C216" s="24">
        <v>1.028622540250447</v>
      </c>
      <c r="D216" s="24">
        <v>0.14863646962526841</v>
      </c>
      <c r="E216" s="24">
        <v>0.14450049829656531</v>
      </c>
      <c r="F216" s="24">
        <v>1.0572450805008939</v>
      </c>
      <c r="G216" s="24">
        <v>8.5577897098645439E-2</v>
      </c>
      <c r="H216" s="24">
        <v>8.0944237695673105E-2</v>
      </c>
      <c r="I216" s="24">
        <v>2.0465116279069768</v>
      </c>
      <c r="J216" s="24">
        <v>0.23035369761192859</v>
      </c>
      <c r="K216" s="24">
        <v>0.11255919315128329</v>
      </c>
      <c r="L216" s="20" t="s">
        <v>501</v>
      </c>
      <c r="M216" s="21">
        <f t="shared" si="3"/>
        <v>0.33800392914352173</v>
      </c>
    </row>
    <row r="217" spans="1:13" x14ac:dyDescent="0.3">
      <c r="A217" s="20" t="s">
        <v>432</v>
      </c>
      <c r="B217" s="20">
        <v>45.5</v>
      </c>
      <c r="C217" s="24">
        <v>0.63736263736263732</v>
      </c>
      <c r="D217" s="24">
        <v>4.4510556124469872E-2</v>
      </c>
      <c r="E217" s="24">
        <v>6.9835527712530321E-2</v>
      </c>
      <c r="F217" s="24">
        <v>0.8351648351648352</v>
      </c>
      <c r="G217" s="24">
        <v>8.8389842150410361E-2</v>
      </c>
      <c r="H217" s="24">
        <v>0.1058352057327282</v>
      </c>
      <c r="I217" s="24">
        <v>1.3186813186813191</v>
      </c>
      <c r="J217" s="24">
        <v>0.154527111652775</v>
      </c>
      <c r="K217" s="24">
        <v>0.1171830596700211</v>
      </c>
      <c r="L217" s="20" t="s">
        <v>502</v>
      </c>
      <c r="M217" s="21">
        <f t="shared" si="3"/>
        <v>0.29285379311527959</v>
      </c>
    </row>
    <row r="218" spans="1:13" x14ac:dyDescent="0.3">
      <c r="A218" s="20" t="s">
        <v>434</v>
      </c>
      <c r="B218" s="20">
        <v>19</v>
      </c>
      <c r="C218" s="24">
        <v>0.76315789473684215</v>
      </c>
      <c r="D218" s="24">
        <v>0.1233387083705994</v>
      </c>
      <c r="E218" s="24">
        <v>0.16161623855457849</v>
      </c>
      <c r="F218" s="24">
        <v>0.89473684210526316</v>
      </c>
      <c r="G218" s="24">
        <v>0.1412742382271468</v>
      </c>
      <c r="H218" s="24">
        <v>0.15789473684210531</v>
      </c>
      <c r="I218" s="24">
        <v>1.1578947368421051</v>
      </c>
      <c r="J218" s="24">
        <v>0.18282548476454291</v>
      </c>
      <c r="K218" s="24">
        <v>0.15789473684210531</v>
      </c>
      <c r="L218" s="20" t="s">
        <v>498</v>
      </c>
      <c r="M218" s="21">
        <f t="shared" si="3"/>
        <v>0.47740571223878914</v>
      </c>
    </row>
    <row r="219" spans="1:13" x14ac:dyDescent="0.3">
      <c r="A219" s="20" t="s">
        <v>436</v>
      </c>
      <c r="B219" s="20">
        <v>1286.5</v>
      </c>
      <c r="C219" s="24">
        <v>0.79090555771472992</v>
      </c>
      <c r="D219" s="24">
        <v>0.23671284070414081</v>
      </c>
      <c r="E219" s="24">
        <v>0.29929343446277851</v>
      </c>
      <c r="F219" s="24">
        <v>0.85231247570928881</v>
      </c>
      <c r="G219" s="24">
        <v>1.7104629893503542E-2</v>
      </c>
      <c r="H219" s="24">
        <v>2.0068496450517379E-2</v>
      </c>
      <c r="I219" s="24">
        <v>1.3229692965410029</v>
      </c>
      <c r="J219" s="24">
        <v>0.31174971688278902</v>
      </c>
      <c r="K219" s="24">
        <v>0.23564395462380031</v>
      </c>
      <c r="L219" s="20" t="s">
        <v>499</v>
      </c>
      <c r="M219" s="21">
        <f t="shared" si="3"/>
        <v>0.55500588553709618</v>
      </c>
    </row>
    <row r="220" spans="1:13" x14ac:dyDescent="0.3">
      <c r="A220" s="20" t="s">
        <v>438</v>
      </c>
      <c r="B220" s="20">
        <v>443.5</v>
      </c>
      <c r="C220" s="24">
        <v>0.91206313416009022</v>
      </c>
      <c r="D220" s="24">
        <v>0.2629266039904245</v>
      </c>
      <c r="E220" s="24">
        <v>0.28827675863968671</v>
      </c>
      <c r="F220" s="24">
        <v>0.96730552423900784</v>
      </c>
      <c r="G220" s="24">
        <v>3.5886216552959552E-2</v>
      </c>
      <c r="H220" s="24">
        <v>3.7099153942278702E-2</v>
      </c>
      <c r="I220" s="24">
        <v>1.6099210822998871</v>
      </c>
      <c r="J220" s="24">
        <v>5.3472479265490057E-2</v>
      </c>
      <c r="K220" s="24">
        <v>3.3214348115188849E-2</v>
      </c>
      <c r="L220" s="20" t="s">
        <v>501</v>
      </c>
      <c r="M220" s="21">
        <f t="shared" si="3"/>
        <v>0.35859026069715427</v>
      </c>
    </row>
    <row r="221" spans="1:13" x14ac:dyDescent="0.3">
      <c r="A221" s="20" t="s">
        <v>440</v>
      </c>
      <c r="B221" s="20">
        <v>4.5</v>
      </c>
      <c r="C221" s="24">
        <v>0.55555555555555558</v>
      </c>
      <c r="D221" s="24">
        <v>0.12710654495045681</v>
      </c>
      <c r="E221" s="24">
        <v>0.22879178091082231</v>
      </c>
      <c r="F221" s="24">
        <v>1.2222222222222221</v>
      </c>
      <c r="G221" s="24">
        <v>0.1754650667105172</v>
      </c>
      <c r="H221" s="24">
        <v>0.14356232730860499</v>
      </c>
      <c r="I221" s="24">
        <v>1.8888888888888891</v>
      </c>
      <c r="J221" s="24">
        <v>0.3939026205813288</v>
      </c>
      <c r="K221" s="24">
        <v>0.20853668148423291</v>
      </c>
      <c r="L221" s="20" t="s">
        <v>499</v>
      </c>
      <c r="M221" s="21">
        <f t="shared" si="3"/>
        <v>0.58089078970366015</v>
      </c>
    </row>
    <row r="222" spans="1:13" x14ac:dyDescent="0.3">
      <c r="A222" s="20" t="s">
        <v>442</v>
      </c>
      <c r="B222" s="20">
        <v>38</v>
      </c>
      <c r="C222" s="24">
        <v>0.86842105263157898</v>
      </c>
      <c r="D222" s="24">
        <v>0.29919782871016098</v>
      </c>
      <c r="E222" s="24">
        <v>0.34453083306018539</v>
      </c>
      <c r="F222" s="24">
        <v>0.96052631578947367</v>
      </c>
      <c r="G222" s="24">
        <v>0.20264369651522901</v>
      </c>
      <c r="H222" s="24">
        <v>0.21097151965969041</v>
      </c>
      <c r="I222" s="24">
        <v>1.2894736842105261</v>
      </c>
      <c r="J222" s="24">
        <v>0.47907424032826462</v>
      </c>
      <c r="K222" s="24">
        <v>0.37152696188722562</v>
      </c>
      <c r="L222" s="20" t="s">
        <v>500</v>
      </c>
      <c r="M222" s="21">
        <f t="shared" si="3"/>
        <v>0.92702931460710136</v>
      </c>
    </row>
    <row r="223" spans="1:13" x14ac:dyDescent="0.3">
      <c r="A223" s="20" t="s">
        <v>444</v>
      </c>
      <c r="B223" s="20">
        <v>558</v>
      </c>
      <c r="C223" s="24">
        <v>0.73566308243727596</v>
      </c>
      <c r="D223" s="24">
        <v>0.2011864034433086</v>
      </c>
      <c r="E223" s="24">
        <v>0.27347628044181782</v>
      </c>
      <c r="F223" s="24">
        <v>0.94265232974910396</v>
      </c>
      <c r="G223" s="24">
        <v>0.13933453708334609</v>
      </c>
      <c r="H223" s="24">
        <v>0.1478111629135116</v>
      </c>
      <c r="I223" s="24">
        <v>1.5385304659498209</v>
      </c>
      <c r="J223" s="24">
        <v>0.20665817367808489</v>
      </c>
      <c r="K223" s="24">
        <v>0.1343217948891921</v>
      </c>
      <c r="L223" s="20" t="s">
        <v>499</v>
      </c>
      <c r="M223" s="21">
        <f t="shared" si="3"/>
        <v>0.55560923824452146</v>
      </c>
    </row>
    <row r="224" spans="1:13" x14ac:dyDescent="0.3">
      <c r="A224" s="20" t="s">
        <v>446</v>
      </c>
      <c r="B224" s="20">
        <v>10</v>
      </c>
      <c r="C224" s="24">
        <v>0.65</v>
      </c>
      <c r="D224" s="24">
        <v>8.2006097334283642E-2</v>
      </c>
      <c r="E224" s="24">
        <v>0.12616322666812871</v>
      </c>
      <c r="F224" s="24">
        <v>1.1000000000000001</v>
      </c>
      <c r="G224" s="24">
        <v>0.14866068747318509</v>
      </c>
      <c r="H224" s="24">
        <v>0.13514607952107729</v>
      </c>
      <c r="I224" s="24">
        <v>1</v>
      </c>
      <c r="J224" s="24">
        <v>0.1414213562373095</v>
      </c>
      <c r="K224" s="24">
        <v>0.1414213562373095</v>
      </c>
      <c r="L224" s="20" t="s">
        <v>501</v>
      </c>
      <c r="M224" s="21">
        <f t="shared" si="3"/>
        <v>0.40273066242651551</v>
      </c>
    </row>
    <row r="225" spans="1:13" x14ac:dyDescent="0.3">
      <c r="A225" s="20" t="s">
        <v>448</v>
      </c>
      <c r="B225" s="20">
        <v>11</v>
      </c>
      <c r="C225" s="24">
        <v>0.63636363636363635</v>
      </c>
      <c r="D225" s="24">
        <v>0.1818181818181818</v>
      </c>
      <c r="E225" s="24">
        <v>0.2857142857142857</v>
      </c>
      <c r="F225" s="24">
        <v>1.3181818181818179</v>
      </c>
      <c r="G225" s="24">
        <v>0.22727272727272729</v>
      </c>
      <c r="H225" s="24">
        <v>0.17241379310344829</v>
      </c>
      <c r="I225" s="24">
        <v>1.136363636363636</v>
      </c>
      <c r="J225" s="24">
        <v>4.5454545454545463E-2</v>
      </c>
      <c r="K225" s="24">
        <v>0.04</v>
      </c>
      <c r="L225" s="20" t="s">
        <v>498</v>
      </c>
      <c r="M225" s="21">
        <f t="shared" si="3"/>
        <v>0.49812807881773397</v>
      </c>
    </row>
    <row r="226" spans="1:13" x14ac:dyDescent="0.3">
      <c r="A226" s="20" t="s">
        <v>450</v>
      </c>
      <c r="B226" s="20">
        <v>525.5</v>
      </c>
      <c r="C226" s="24">
        <v>0.8249286393910561</v>
      </c>
      <c r="D226" s="24">
        <v>0.19875515186835799</v>
      </c>
      <c r="E226" s="24">
        <v>0.24093617602496459</v>
      </c>
      <c r="F226" s="24">
        <v>1.025689819219791</v>
      </c>
      <c r="G226" s="24">
        <v>0.18008163595823859</v>
      </c>
      <c r="H226" s="24">
        <v>0.17557124247876499</v>
      </c>
      <c r="I226" s="24">
        <v>1.769743101807802</v>
      </c>
      <c r="J226" s="24">
        <v>0.20287971037192559</v>
      </c>
      <c r="K226" s="24">
        <v>0.11463794387144829</v>
      </c>
      <c r="L226" s="20" t="s">
        <v>498</v>
      </c>
      <c r="M226" s="21">
        <f t="shared" si="3"/>
        <v>0.53114536237517784</v>
      </c>
    </row>
    <row r="227" spans="1:13" x14ac:dyDescent="0.3">
      <c r="A227" s="20" t="s">
        <v>452</v>
      </c>
      <c r="B227" s="20">
        <v>901</v>
      </c>
      <c r="C227" s="24">
        <v>0.84739178690344064</v>
      </c>
      <c r="D227" s="24">
        <v>0.16627382317861361</v>
      </c>
      <c r="E227" s="24">
        <v>0.1962183558401189</v>
      </c>
      <c r="F227" s="24">
        <v>0.99167591564927859</v>
      </c>
      <c r="G227" s="24">
        <v>0.2028926021242306</v>
      </c>
      <c r="H227" s="24">
        <v>0.2045956737704889</v>
      </c>
      <c r="I227" s="24">
        <v>1.3468368479467261</v>
      </c>
      <c r="J227" s="24">
        <v>0.25510589785935478</v>
      </c>
      <c r="K227" s="24">
        <v>0.18941113635869691</v>
      </c>
      <c r="L227" s="20" t="s">
        <v>499</v>
      </c>
      <c r="M227" s="21">
        <f t="shared" si="3"/>
        <v>0.59022516596930474</v>
      </c>
    </row>
    <row r="228" spans="1:13" x14ac:dyDescent="0.3">
      <c r="A228" s="20" t="s">
        <v>454</v>
      </c>
      <c r="B228" s="20">
        <v>1925.5</v>
      </c>
      <c r="C228" s="24">
        <v>0.9683199169047001</v>
      </c>
      <c r="D228" s="24">
        <v>0.21556976689739349</v>
      </c>
      <c r="E228" s="24">
        <v>0.22262246509033581</v>
      </c>
      <c r="F228" s="24">
        <v>0.961308750973773</v>
      </c>
      <c r="G228" s="24">
        <v>3.1808640197674452E-2</v>
      </c>
      <c r="H228" s="24">
        <v>3.3088890708061668E-2</v>
      </c>
      <c r="I228" s="24">
        <v>1.4655933523760061</v>
      </c>
      <c r="J228" s="24">
        <v>0.2310277517160722</v>
      </c>
      <c r="K228" s="24">
        <v>0.15763427920953119</v>
      </c>
      <c r="L228" s="20" t="s">
        <v>501</v>
      </c>
      <c r="M228" s="21">
        <f t="shared" si="3"/>
        <v>0.41334563500792865</v>
      </c>
    </row>
    <row r="229" spans="1:13" x14ac:dyDescent="0.3">
      <c r="A229" s="20" t="s">
        <v>456</v>
      </c>
      <c r="B229" s="20">
        <v>152</v>
      </c>
      <c r="C229" s="24">
        <v>0.78618421052631582</v>
      </c>
      <c r="D229" s="24">
        <v>0.14434807786339901</v>
      </c>
      <c r="E229" s="24">
        <v>0.18360592330741971</v>
      </c>
      <c r="F229" s="24">
        <v>0.84539473684210531</v>
      </c>
      <c r="G229" s="24">
        <v>0.1474273047249009</v>
      </c>
      <c r="H229" s="24">
        <v>0.1743887184294548</v>
      </c>
      <c r="I229" s="24">
        <v>1.4572368421052631</v>
      </c>
      <c r="J229" s="24">
        <v>0.21114659645871051</v>
      </c>
      <c r="K229" s="24">
        <v>0.1448951813170383</v>
      </c>
      <c r="L229" s="20" t="s">
        <v>498</v>
      </c>
      <c r="M229" s="21">
        <f t="shared" si="3"/>
        <v>0.50288982305391283</v>
      </c>
    </row>
    <row r="230" spans="1:13" x14ac:dyDescent="0.3">
      <c r="A230" s="20" t="s">
        <v>458</v>
      </c>
      <c r="B230" s="20">
        <v>14068</v>
      </c>
      <c r="C230" s="24">
        <v>0.89351720216093267</v>
      </c>
      <c r="D230" s="24">
        <v>0.17866972745156681</v>
      </c>
      <c r="E230" s="24">
        <v>0.1999622693547049</v>
      </c>
      <c r="F230" s="24">
        <v>0.92141740119419957</v>
      </c>
      <c r="G230" s="24">
        <v>9.446365377374125E-3</v>
      </c>
      <c r="H230" s="24">
        <v>1.0251993684003801E-2</v>
      </c>
      <c r="I230" s="24">
        <v>1.292614444128519</v>
      </c>
      <c r="J230" s="24">
        <v>0.16824653754877841</v>
      </c>
      <c r="K230" s="24">
        <v>0.13015987738107809</v>
      </c>
      <c r="L230" s="20" t="s">
        <v>501</v>
      </c>
      <c r="M230" s="21">
        <f t="shared" si="3"/>
        <v>0.34037414041978681</v>
      </c>
    </row>
    <row r="231" spans="1:13" x14ac:dyDescent="0.3">
      <c r="A231" s="20" t="s">
        <v>460</v>
      </c>
      <c r="B231" s="20">
        <v>7929</v>
      </c>
      <c r="C231" s="24">
        <v>0.83881952326901243</v>
      </c>
      <c r="D231" s="24">
        <v>0.18039939954340981</v>
      </c>
      <c r="E231" s="24">
        <v>0.21506342489545879</v>
      </c>
      <c r="F231" s="24">
        <v>0.95093958885105312</v>
      </c>
      <c r="G231" s="24">
        <v>6.9530872593674367E-2</v>
      </c>
      <c r="H231" s="24">
        <v>7.3118075437035024E-2</v>
      </c>
      <c r="I231" s="24">
        <v>1.407554546601085</v>
      </c>
      <c r="J231" s="24">
        <v>0.10818709622194719</v>
      </c>
      <c r="K231" s="24">
        <v>7.6861743286037315E-2</v>
      </c>
      <c r="L231" s="20" t="s">
        <v>501</v>
      </c>
      <c r="M231" s="21">
        <f t="shared" si="3"/>
        <v>0.36504324361853113</v>
      </c>
    </row>
    <row r="232" spans="1:13" x14ac:dyDescent="0.3">
      <c r="A232" s="20" t="s">
        <v>462</v>
      </c>
      <c r="B232" s="20">
        <v>135.5</v>
      </c>
      <c r="C232" s="24">
        <v>1.033210332103321</v>
      </c>
      <c r="D232" s="24">
        <v>0.1554030339834887</v>
      </c>
      <c r="E232" s="24">
        <v>0.15040793646259079</v>
      </c>
      <c r="F232" s="24">
        <v>0.99261992619926198</v>
      </c>
      <c r="G232" s="24">
        <v>2.80704017165125E-2</v>
      </c>
      <c r="H232" s="24">
        <v>2.827910358801073E-2</v>
      </c>
      <c r="I232" s="24">
        <v>1.2214022140221401</v>
      </c>
      <c r="J232" s="24">
        <v>6.4171259954131796E-2</v>
      </c>
      <c r="K232" s="24">
        <v>5.2539007394470441E-2</v>
      </c>
      <c r="L232" s="20" t="s">
        <v>502</v>
      </c>
      <c r="M232" s="21">
        <f t="shared" si="3"/>
        <v>0.23122604744507197</v>
      </c>
    </row>
    <row r="233" spans="1:13" x14ac:dyDescent="0.3">
      <c r="A233" s="20" t="s">
        <v>464</v>
      </c>
      <c r="B233" s="20">
        <v>11.5</v>
      </c>
      <c r="C233" s="24">
        <v>1</v>
      </c>
      <c r="D233" s="24">
        <v>0.22169650059099061</v>
      </c>
      <c r="E233" s="24">
        <v>0.22169650059099061</v>
      </c>
      <c r="F233" s="24">
        <v>1.347826086956522</v>
      </c>
      <c r="G233" s="24">
        <v>0.3956680244332898</v>
      </c>
      <c r="H233" s="24">
        <v>0.29356014716018269</v>
      </c>
      <c r="I233" s="24">
        <v>1.2173913043478259</v>
      </c>
      <c r="J233" s="24">
        <v>0.1017989566566069</v>
      </c>
      <c r="K233" s="24">
        <v>8.3620571539355648E-2</v>
      </c>
      <c r="L233" s="20" t="s">
        <v>499</v>
      </c>
      <c r="M233" s="21">
        <f t="shared" si="3"/>
        <v>0.59887721929052895</v>
      </c>
    </row>
    <row r="234" spans="1:13" x14ac:dyDescent="0.3">
      <c r="A234" s="20" t="s">
        <v>466</v>
      </c>
      <c r="B234" s="20">
        <v>5</v>
      </c>
      <c r="C234" s="24">
        <v>0.8</v>
      </c>
      <c r="D234" s="24">
        <v>0.37735924528226422</v>
      </c>
      <c r="E234" s="24">
        <v>0.47169905660283018</v>
      </c>
      <c r="F234" s="24">
        <v>0.9</v>
      </c>
      <c r="G234" s="24">
        <v>0.46861498055439932</v>
      </c>
      <c r="H234" s="24">
        <v>0.52068331172711035</v>
      </c>
      <c r="I234" s="24">
        <v>2.1</v>
      </c>
      <c r="J234" s="24">
        <v>1.231097071720991</v>
      </c>
      <c r="K234" s="24">
        <v>0.58623670081951973</v>
      </c>
      <c r="L234" s="20" t="s">
        <v>500</v>
      </c>
      <c r="M234" s="21">
        <f t="shared" si="3"/>
        <v>1.5786190691494602</v>
      </c>
    </row>
    <row r="235" spans="1:13" x14ac:dyDescent="0.3">
      <c r="A235" s="20" t="s">
        <v>468</v>
      </c>
      <c r="B235" s="20">
        <v>14.5</v>
      </c>
      <c r="C235" s="24">
        <v>0.93103448275862066</v>
      </c>
      <c r="D235" s="24">
        <v>0.24739891868346781</v>
      </c>
      <c r="E235" s="24">
        <v>0.26572476451187282</v>
      </c>
      <c r="F235" s="24">
        <v>1.068965517241379</v>
      </c>
      <c r="G235" s="24">
        <v>0.26032010975491798</v>
      </c>
      <c r="H235" s="24">
        <v>0.24352526396427809</v>
      </c>
      <c r="I235" s="24">
        <v>1.0344827586206899</v>
      </c>
      <c r="J235" s="24">
        <v>0.54351388357289687</v>
      </c>
      <c r="K235" s="24">
        <v>0.52539675412046694</v>
      </c>
      <c r="L235" s="20" t="s">
        <v>500</v>
      </c>
      <c r="M235" s="21">
        <f t="shared" si="3"/>
        <v>1.0346467825966179</v>
      </c>
    </row>
    <row r="236" spans="1:13" x14ac:dyDescent="0.3">
      <c r="A236" s="20" t="s">
        <v>470</v>
      </c>
      <c r="B236" s="20">
        <v>16</v>
      </c>
      <c r="C236" s="24">
        <v>0.90625</v>
      </c>
      <c r="D236" s="24">
        <v>0.3032065370363286</v>
      </c>
      <c r="E236" s="24">
        <v>0.33457273052284542</v>
      </c>
      <c r="F236" s="24">
        <v>0.65625</v>
      </c>
      <c r="G236" s="24">
        <v>0.17647432809494559</v>
      </c>
      <c r="H236" s="24">
        <v>0.26891326185896469</v>
      </c>
      <c r="I236" s="24">
        <v>1.15625</v>
      </c>
      <c r="J236" s="24">
        <v>0.31621328992716691</v>
      </c>
      <c r="K236" s="24">
        <v>0.27348176426133353</v>
      </c>
      <c r="L236" s="20" t="s">
        <v>500</v>
      </c>
      <c r="M236" s="21">
        <f t="shared" si="3"/>
        <v>0.87696775664314364</v>
      </c>
    </row>
    <row r="237" spans="1:13" x14ac:dyDescent="0.3">
      <c r="A237" s="20" t="s">
        <v>472</v>
      </c>
      <c r="B237" s="20">
        <v>54.5</v>
      </c>
      <c r="C237" s="24">
        <v>0.78899082568807344</v>
      </c>
      <c r="D237" s="24">
        <v>0.2291859847622395</v>
      </c>
      <c r="E237" s="24">
        <v>0.29047991091958258</v>
      </c>
      <c r="F237" s="24">
        <v>0.91743119266055051</v>
      </c>
      <c r="G237" s="24">
        <v>0.16751047475308939</v>
      </c>
      <c r="H237" s="24">
        <v>0.1825864174808674</v>
      </c>
      <c r="I237" s="24">
        <v>1.1467889908256881</v>
      </c>
      <c r="J237" s="24">
        <v>0.15808144048507869</v>
      </c>
      <c r="K237" s="24">
        <v>0.13784701610298861</v>
      </c>
      <c r="L237" s="20" t="s">
        <v>499</v>
      </c>
      <c r="M237" s="21">
        <f t="shared" si="3"/>
        <v>0.61091334450343859</v>
      </c>
    </row>
    <row r="238" spans="1:13" x14ac:dyDescent="0.3">
      <c r="A238" s="20" t="s">
        <v>474</v>
      </c>
      <c r="B238" s="20">
        <v>335</v>
      </c>
      <c r="C238" s="24">
        <v>0.82537313432835824</v>
      </c>
      <c r="D238" s="24">
        <v>0.1183215901258058</v>
      </c>
      <c r="E238" s="24">
        <v>0.14335527194265801</v>
      </c>
      <c r="F238" s="24">
        <v>0.94776119402985071</v>
      </c>
      <c r="G238" s="24">
        <v>5.3450511584406897E-2</v>
      </c>
      <c r="H238" s="24">
        <v>5.6396602774098623E-2</v>
      </c>
      <c r="I238" s="24">
        <v>1.349253731343284</v>
      </c>
      <c r="J238" s="24">
        <v>0.19469753707542459</v>
      </c>
      <c r="K238" s="24">
        <v>0.14430016575280369</v>
      </c>
      <c r="L238" s="20" t="s">
        <v>501</v>
      </c>
      <c r="M238" s="21">
        <f t="shared" si="3"/>
        <v>0.34405204046956034</v>
      </c>
    </row>
    <row r="239" spans="1:13" x14ac:dyDescent="0.3">
      <c r="A239" s="20" t="s">
        <v>476</v>
      </c>
      <c r="B239" s="20">
        <v>4159.5</v>
      </c>
      <c r="C239" s="24">
        <v>0.89866570501262166</v>
      </c>
      <c r="D239" s="24">
        <v>0.13963155948753869</v>
      </c>
      <c r="E239" s="24">
        <v>0.15537653068175961</v>
      </c>
      <c r="F239" s="24">
        <v>0.97451616780863082</v>
      </c>
      <c r="G239" s="24">
        <v>0.16668225983429291</v>
      </c>
      <c r="H239" s="24">
        <v>0.17104104102152251</v>
      </c>
      <c r="I239" s="24">
        <v>1.5828825579997601</v>
      </c>
      <c r="J239" s="24">
        <v>0.26702759095829381</v>
      </c>
      <c r="K239" s="24">
        <v>0.1686970328965709</v>
      </c>
      <c r="L239" s="20" t="s">
        <v>498</v>
      </c>
      <c r="M239" s="21">
        <f t="shared" si="3"/>
        <v>0.49511460459985301</v>
      </c>
    </row>
    <row r="240" spans="1:13" x14ac:dyDescent="0.3">
      <c r="A240" s="20" t="s">
        <v>478</v>
      </c>
      <c r="B240" s="20">
        <v>619</v>
      </c>
      <c r="C240" s="24">
        <v>0.85945072697899838</v>
      </c>
      <c r="D240" s="24">
        <v>0.22068588526669189</v>
      </c>
      <c r="E240" s="24">
        <v>0.25677549432346292</v>
      </c>
      <c r="F240" s="24">
        <v>1.0726978998384491</v>
      </c>
      <c r="G240" s="24">
        <v>0.19218980453650711</v>
      </c>
      <c r="H240" s="24">
        <v>0.1791648930844848</v>
      </c>
      <c r="I240" s="24">
        <v>1.616316639741519</v>
      </c>
      <c r="J240" s="24">
        <v>0.27815006380677743</v>
      </c>
      <c r="K240" s="24">
        <v>0.1720888450738583</v>
      </c>
      <c r="L240" s="20" t="s">
        <v>499</v>
      </c>
      <c r="M240" s="21">
        <f t="shared" si="3"/>
        <v>0.60802923248180596</v>
      </c>
    </row>
    <row r="241" spans="1:13" x14ac:dyDescent="0.3">
      <c r="A241" s="20" t="s">
        <v>480</v>
      </c>
      <c r="B241" s="20">
        <v>1061.5</v>
      </c>
      <c r="C241" s="24">
        <v>0.77390485162505884</v>
      </c>
      <c r="D241" s="24">
        <v>0.21274041598019849</v>
      </c>
      <c r="E241" s="24">
        <v>0.27489221127569158</v>
      </c>
      <c r="F241" s="24">
        <v>0.96796985398021662</v>
      </c>
      <c r="G241" s="24">
        <v>0.12994260254389689</v>
      </c>
      <c r="H241" s="24">
        <v>0.134242406423695</v>
      </c>
      <c r="I241" s="24">
        <v>1.5379180405087141</v>
      </c>
      <c r="J241" s="24">
        <v>0.20253402264941159</v>
      </c>
      <c r="K241" s="24">
        <v>0.13169363861705999</v>
      </c>
      <c r="L241" s="20" t="s">
        <v>498</v>
      </c>
      <c r="M241" s="21">
        <f t="shared" si="3"/>
        <v>0.5408282563164466</v>
      </c>
    </row>
  </sheetData>
  <autoFilter ref="A1:M241" xr:uid="{00000000-0001-0000-0000-000000000000}"/>
  <conditionalFormatting sqref="M2:M241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Err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 Istvan Csonka</dc:creator>
  <cp:lastModifiedBy>Gabor Istvan Csonka</cp:lastModifiedBy>
  <dcterms:created xsi:type="dcterms:W3CDTF">2025-09-15T21:36:48Z</dcterms:created>
  <dcterms:modified xsi:type="dcterms:W3CDTF">2026-03-14T12:47:48Z</dcterms:modified>
</cp:coreProperties>
</file>