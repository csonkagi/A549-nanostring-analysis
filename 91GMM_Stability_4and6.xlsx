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2fdc3da793685bf/Documents/Somlyai/MolCanc1/"/>
    </mc:Choice>
  </mc:AlternateContent>
  <xr:revisionPtr revIDLastSave="77" documentId="11_333D2918D477C80E62355476585DCE3A8745C6E3" xr6:coauthVersionLast="47" xr6:coauthVersionMax="47" xr10:uidLastSave="{26E529BA-C59D-4DB1-B584-8280F901D4CF}"/>
  <bookViews>
    <workbookView xWindow="7260" yWindow="2232" windowWidth="22428" windowHeight="14568" activeTab="1" xr2:uid="{00000000-000D-0000-FFFF-FFFF00000000}"/>
  </bookViews>
  <sheets>
    <sheet name="Stability" sheetId="1" r:id="rId1"/>
    <sheet name="GMM-6" sheetId="2" r:id="rId2"/>
  </sheets>
  <definedNames>
    <definedName name="_xlnm._FilterDatabase" localSheetId="0" hidden="1">Stability!$A$1:$AF$92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4" i="1" l="1"/>
  <c r="AF94" i="1"/>
  <c r="AD94" i="1"/>
  <c r="AC94" i="1"/>
</calcChain>
</file>

<file path=xl/sharedStrings.xml><?xml version="1.0" encoding="utf-8"?>
<sst xmlns="http://schemas.openxmlformats.org/spreadsheetml/2006/main" count="611" uniqueCount="192">
  <si>
    <t>Gene Code</t>
  </si>
  <si>
    <t>40/1</t>
  </si>
  <si>
    <t>40/2</t>
  </si>
  <si>
    <t>80/1</t>
  </si>
  <si>
    <t>80/2</t>
  </si>
  <si>
    <t>150/1</t>
  </si>
  <si>
    <t>150/2</t>
  </si>
  <si>
    <t>300/1</t>
  </si>
  <si>
    <t>300/2</t>
  </si>
  <si>
    <t>mean_150</t>
  </si>
  <si>
    <t>sd_150</t>
  </si>
  <si>
    <t>rel_40</t>
  </si>
  <si>
    <t>rel_err_40</t>
  </si>
  <si>
    <t>rel_err_ratio_40</t>
  </si>
  <si>
    <t>rel_80</t>
  </si>
  <si>
    <t>rel_err_80</t>
  </si>
  <si>
    <t>rel_err_ratio_80</t>
  </si>
  <si>
    <t>rel_300</t>
  </si>
  <si>
    <t>rel_err_300</t>
  </si>
  <si>
    <t>rel_err_ratio_300</t>
  </si>
  <si>
    <t>total_error</t>
  </si>
  <si>
    <t>Reliability_Category</t>
  </si>
  <si>
    <t>Pattern</t>
  </si>
  <si>
    <t>Reliable_Pattern</t>
  </si>
  <si>
    <t>Pathway</t>
  </si>
  <si>
    <t>Hallmark</t>
  </si>
  <si>
    <t>Stability_GMM4</t>
  </si>
  <si>
    <t>Stability_GMM6</t>
  </si>
  <si>
    <t>Mahalanobis_GMM4</t>
  </si>
  <si>
    <t>Mahalanobis_GMM6</t>
  </si>
  <si>
    <t>AKT2</t>
  </si>
  <si>
    <t>light green</t>
  </si>
  <si>
    <t>→ → ↗</t>
  </si>
  <si>
    <t>x → x</t>
  </si>
  <si>
    <t>PI3K–AKT axis</t>
  </si>
  <si>
    <t>Resisting Cell Death, Deregulating Cellular Energetics</t>
  </si>
  <si>
    <t>BCL2</t>
  </si>
  <si>
    <t>→ → ↑</t>
  </si>
  <si>
    <t>x x x</t>
  </si>
  <si>
    <t>Apoptosis evasion</t>
  </si>
  <si>
    <t>Resisting Cell Death</t>
  </si>
  <si>
    <t>BCL2A1</t>
  </si>
  <si>
    <t>↓ → ↑</t>
  </si>
  <si>
    <t>BCL2L1</t>
  </si>
  <si>
    <t>green</t>
  </si>
  <si>
    <t>→ x x</t>
  </si>
  <si>
    <t>BCR</t>
  </si>
  <si>
    <t>x → ↗</t>
  </si>
  <si>
    <t>RAS–MAPK core</t>
  </si>
  <si>
    <t>Sustaining Proliferative Signaling, Evading Growth Suppressors</t>
  </si>
  <si>
    <t>BIRC5</t>
  </si>
  <si>
    <t>↙ → ↗</t>
  </si>
  <si>
    <t>CAV1</t>
  </si>
  <si>
    <t>yellow</t>
  </si>
  <si>
    <t>CCND1</t>
  </si>
  <si>
    <t>→ → x</t>
  </si>
  <si>
    <t>Cell cycle &amp; replication</t>
  </si>
  <si>
    <t>Sustaining Proliferative Signaling, Enabling Replicative Immortality</t>
  </si>
  <si>
    <t>CCND3</t>
  </si>
  <si>
    <t>CCNE1</t>
  </si>
  <si>
    <t>CD44</t>
  </si>
  <si>
    <t>x → ↑</t>
  </si>
  <si>
    <t>Invasion &amp; ECM remodeling</t>
  </si>
  <si>
    <t>Activating Invasion and Metastasis</t>
  </si>
  <si>
    <t>CDC25B</t>
  </si>
  <si>
    <t>CDC25C</t>
  </si>
  <si>
    <t>x x ↑</t>
  </si>
  <si>
    <t>CDK2</t>
  </si>
  <si>
    <t>CDK4</t>
  </si>
  <si>
    <t>CDKN1A</t>
  </si>
  <si>
    <t>→ → →</t>
  </si>
  <si>
    <t>CDKN2C</t>
  </si>
  <si>
    <t>↙ → →</t>
  </si>
  <si>
    <t>CEBPA</t>
  </si>
  <si>
    <t>Transcriptional amplifiers</t>
  </si>
  <si>
    <t>Sustaining Proliferative Signaling, Enabling Replicative Immortality, Tumor-Promoting Inflammation</t>
  </si>
  <si>
    <t>CSK</t>
  </si>
  <si>
    <t>RTKs &amp; adaptors</t>
  </si>
  <si>
    <t>Sustaining Proliferative Signaling</t>
  </si>
  <si>
    <t>E2F1</t>
  </si>
  <si>
    <t>EGFR</t>
  </si>
  <si>
    <t>ERBB2</t>
  </si>
  <si>
    <t>ERBB3</t>
  </si>
  <si>
    <t>ERCC2</t>
  </si>
  <si>
    <t>DNA repair &amp; stress tolerance</t>
  </si>
  <si>
    <t>Genome Instability and Mutation</t>
  </si>
  <si>
    <t>ETS1</t>
  </si>
  <si>
    <t>↙ → ↑</t>
  </si>
  <si>
    <t>ETS2</t>
  </si>
  <si>
    <t>ETV6</t>
  </si>
  <si>
    <t>FANCG</t>
  </si>
  <si>
    <t>FAS</t>
  </si>
  <si>
    <t>FAT1</t>
  </si>
  <si>
    <t>FGF2</t>
  </si>
  <si>
    <t>FGFR3</t>
  </si>
  <si>
    <t>FOSL2</t>
  </si>
  <si>
    <t>GADD45A</t>
  </si>
  <si>
    <t>HIF1A</t>
  </si>
  <si>
    <t>HRAS</t>
  </si>
  <si>
    <t>HSP90AB1</t>
  </si>
  <si>
    <t>IGF1</t>
  </si>
  <si>
    <t>IGFBP2</t>
  </si>
  <si>
    <t>→ ↙ ↗</t>
  </si>
  <si>
    <t>IGFBP3</t>
  </si>
  <si>
    <t>CXCL8</t>
  </si>
  <si>
    <t>Cytokine/inflammation</t>
  </si>
  <si>
    <t>Tumor-Promoting Inflammation, Avoiding Immune Destruction</t>
  </si>
  <si>
    <t>IRF1</t>
  </si>
  <si>
    <t>ITGB1</t>
  </si>
  <si>
    <t>JUN</t>
  </si>
  <si>
    <t>LAMB1</t>
  </si>
  <si>
    <t>LYN</t>
  </si>
  <si>
    <t>MET</t>
  </si>
  <si>
    <t>KMT2A</t>
  </si>
  <si>
    <t>↙ ↙ ↑</t>
  </si>
  <si>
    <t>MSH6</t>
  </si>
  <si>
    <t>MST1R</t>
  </si>
  <si>
    <t>MTA1</t>
  </si>
  <si>
    <t>MUC1</t>
  </si>
  <si>
    <t>MYBL2</t>
  </si>
  <si>
    <t>MYC</t>
  </si>
  <si>
    <t>NPM1</t>
  </si>
  <si>
    <t>NQO1</t>
  </si>
  <si>
    <t>NRAS</t>
  </si>
  <si>
    <t>NUMA1</t>
  </si>
  <si>
    <t>PCNA</t>
  </si>
  <si>
    <t>CDK16</t>
  </si>
  <si>
    <t>PDGFA</t>
  </si>
  <si>
    <t>PGK1</t>
  </si>
  <si>
    <t>PIM1</t>
  </si>
  <si>
    <t>PLAUR</t>
  </si>
  <si>
    <t>PPARG</t>
  </si>
  <si>
    <t>PTEN</t>
  </si>
  <si>
    <t>PTPRG</t>
  </si>
  <si>
    <t>RAD54L</t>
  </si>
  <si>
    <t>RAF1</t>
  </si>
  <si>
    <t>RARA</t>
  </si>
  <si>
    <t>RB1</t>
  </si>
  <si>
    <t>RET</t>
  </si>
  <si>
    <t>S100A4</t>
  </si>
  <si>
    <t>SERPINE1</t>
  </si>
  <si>
    <t>SFPQ</t>
  </si>
  <si>
    <t>SIAH1</t>
  </si>
  <si>
    <t>STAT3</t>
  </si>
  <si>
    <t>TERT</t>
  </si>
  <si>
    <t>TFE3</t>
  </si>
  <si>
    <t>TFRC</t>
  </si>
  <si>
    <t>TGFB1</t>
  </si>
  <si>
    <t>TGFBI</t>
  </si>
  <si>
    <t>TIMP2</t>
  </si>
  <si>
    <t>TOP1</t>
  </si>
  <si>
    <t>TP53</t>
  </si>
  <si>
    <t>TPR</t>
  </si>
  <si>
    <t>TYMS</t>
  </si>
  <si>
    <t>TYRO3</t>
  </si>
  <si>
    <t>XPC</t>
  </si>
  <si>
    <t>XRCC5</t>
  </si>
  <si>
    <t>YY1</t>
  </si>
  <si>
    <t>GMM4</t>
  </si>
  <si>
    <t>GMM6</t>
  </si>
  <si>
    <t>AKT2, BIRC5, CDK2, CDK4, CDKN1A, CDKN2C, E2F1, ERCC2, FANCG, FGFR3, MTA1, MUC1, MYBL2, NPM1, CDK16, RET, TFE3</t>
  </si>
  <si>
    <t xml:space="preserve">PI3K–AKT signaling, Cell Cycle, DNA Repair </t>
  </si>
  <si>
    <t xml:space="preserve">Basal Maintenance and Survival Reserve </t>
  </si>
  <si>
    <t>BCL2L1, CCND3, CSK, HRAS, IGFBP2, NUMA1, S100A4, TGFB1, TYRO3</t>
  </si>
  <si>
    <t>Unlocking Phenotypic Plasticity, Activating Invasion &amp; Metastasis</t>
  </si>
  <si>
    <t xml:space="preserve">TGF‑β signaling, EMT </t>
  </si>
  <si>
    <t>Invasion and Phenotypic Plasticity (STK11‑Linked)</t>
  </si>
  <si>
    <t>BCL2, BCR, CDC25B, ETS1, ETS2, FAS, FGF2, IGFBP3, IRF1, LYN, MET, NRAS, PDGFA, PTPRG, SERPINE1, TYMS, XPC</t>
  </si>
  <si>
    <t>Sustaining Proliferative Signaling, Resisting Cell Death</t>
  </si>
  <si>
    <t xml:space="preserve">MAPK signaling, Apoptosis, Nucleotide Excision Repair </t>
  </si>
  <si>
    <t xml:space="preserve">Accessory Growth Signals (“Co‑Conspirators”) </t>
  </si>
  <si>
    <t>CAV1, CCND1, CEBPA, ERBB2, FOSL2, IGF1, JUN, MST1R, PCNA, PIM1, RARA, SIAH1, TP53</t>
  </si>
  <si>
    <t>Evading Growth Suppressors, Deregulating Cellular Energetics</t>
  </si>
  <si>
    <t xml:space="preserve">p53 Signaling, Cell Cycle, FoxO Signaling </t>
  </si>
  <si>
    <t xml:space="preserve">TP53 Homeostatic Hub </t>
  </si>
  <si>
    <t>BCL2A1, CCNE1, CD44, EGFR, ETV6, FAT1, GADD45A, HIF1A, HSP90AB1, CXCL8, KMT2A, PGK1, PLAUR, RAD54L, RAF1, SFPQ, TPR, YY1</t>
  </si>
  <si>
    <t>Sustaining Proliferative Signaling, Activating Invasion &amp; Metastasis</t>
  </si>
  <si>
    <t xml:space="preserve">RAS–MAPK signaling, Hypoxia, Focal Adhesion </t>
  </si>
  <si>
    <t>KRAS Effector and Hypoxic Response Module</t>
  </si>
  <si>
    <t>CDC25C, ERBB3, ITGB1, LAMB1, MSH6, MYC, NQO1, PPARG, PTEN, RB1, STAT3, TERT, TFRC, TGFBI, TIMP2, TOP1, XRCC5</t>
  </si>
  <si>
    <t>Genome Instability &amp; Mutation, Enabling Replicative Immortality</t>
  </si>
  <si>
    <t xml:space="preserve">Cell Cycle, PI3K–AKT axis, DNA Repair, JAK–STAT signaling </t>
  </si>
  <si>
    <t>Cellular Regulation and Genomic Stability</t>
  </si>
  <si>
    <t>Genes</t>
  </si>
  <si>
    <t>Count</t>
  </si>
  <si>
    <t>Hallmarks</t>
  </si>
  <si>
    <t>Pathways</t>
  </si>
  <si>
    <t>Centroid_300</t>
  </si>
  <si>
    <t>Centroid_80</t>
  </si>
  <si>
    <t>Centroid_40</t>
  </si>
  <si>
    <t>Function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</si>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</sst>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ptos Display"/>
      <family val="2"/>
    </font>
    <font>
      <sz val="10"/>
      <color rgb="FF000000"/>
      <name val="Aptos Display"/>
      <family val="2"/>
    </font>
    <font>
      <b/>
      <sz val="10"/>
      <color rgb="FF000000"/>
      <name val="Aptos Display"/>
      <family val="2"/>
    </font>
    <font>
      <b/>
      <sz val="10"/>
      <color theme="1"/>
      <name val="Aptos Display"/>
      <family val="2"/>
    </font>
    <font>
      <b/>
      <sz val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6" fillId="3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P8" sqref="P8"/>
    </sheetView>
  </sheetViews>
  <sheetFormatPr defaultRowHeight="14.4" x14ac:dyDescent="0.3"/>
  <cols>
    <col min="1" max="1" width="8.88671875" style="13"/>
    <col min="25" max="25" width="13.33203125" customWidth="1"/>
    <col min="27" max="27" width="8" style="3" customWidth="1"/>
    <col min="28" max="28" width="7.88671875" style="3" customWidth="1"/>
  </cols>
  <sheetData>
    <row r="1" spans="1:32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158</v>
      </c>
      <c r="AB1" s="1" t="s">
        <v>159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 s="13" t="s">
        <v>30</v>
      </c>
      <c r="B2">
        <v>3249</v>
      </c>
      <c r="C2">
        <v>2098</v>
      </c>
      <c r="D2">
        <v>2658</v>
      </c>
      <c r="E2">
        <v>2814</v>
      </c>
      <c r="F2">
        <v>3084</v>
      </c>
      <c r="G2">
        <v>3089</v>
      </c>
      <c r="H2">
        <v>3225</v>
      </c>
      <c r="I2">
        <v>4528</v>
      </c>
      <c r="J2">
        <v>3086.5</v>
      </c>
      <c r="K2">
        <v>2.5</v>
      </c>
      <c r="L2" s="2">
        <v>0.86619147902154547</v>
      </c>
      <c r="M2" s="2">
        <v>0.18645847208595581</v>
      </c>
      <c r="N2" s="2">
        <v>0.21526241783927541</v>
      </c>
      <c r="O2" s="2">
        <v>0.88644095253523414</v>
      </c>
      <c r="P2" s="2">
        <v>2.5281540619574171E-2</v>
      </c>
      <c r="Q2" s="2">
        <v>2.8520275994998422E-2</v>
      </c>
      <c r="R2" s="2">
        <v>1.255953345213024</v>
      </c>
      <c r="S2" s="2">
        <v>0.21108296330460599</v>
      </c>
      <c r="T2" s="2">
        <v>0.168065927057827</v>
      </c>
      <c r="U2" s="2">
        <v>0.41184862089210078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s="3">
        <v>4</v>
      </c>
      <c r="AB2" s="3">
        <v>6</v>
      </c>
      <c r="AC2" s="2">
        <v>0.42541821792360501</v>
      </c>
      <c r="AD2" s="2">
        <v>1</v>
      </c>
      <c r="AE2" s="2">
        <v>0.84143457636240948</v>
      </c>
      <c r="AF2" s="2">
        <v>1.6044835914369391</v>
      </c>
    </row>
    <row r="3" spans="1:32" x14ac:dyDescent="0.3">
      <c r="A3" s="13" t="s">
        <v>36</v>
      </c>
      <c r="B3">
        <v>29</v>
      </c>
      <c r="C3">
        <v>24</v>
      </c>
      <c r="D3">
        <v>36</v>
      </c>
      <c r="E3">
        <v>24</v>
      </c>
      <c r="F3">
        <v>29</v>
      </c>
      <c r="G3">
        <v>30</v>
      </c>
      <c r="H3">
        <v>47</v>
      </c>
      <c r="I3">
        <v>35</v>
      </c>
      <c r="J3">
        <v>29.5</v>
      </c>
      <c r="K3">
        <v>0.5</v>
      </c>
      <c r="L3" s="2">
        <v>0.89830508474576276</v>
      </c>
      <c r="M3" s="2">
        <v>8.610261581197122E-2</v>
      </c>
      <c r="N3" s="2">
        <v>9.5850081752949082E-2</v>
      </c>
      <c r="O3" s="2">
        <v>1.0169491525423731</v>
      </c>
      <c r="P3" s="2">
        <v>0.2041188809158857</v>
      </c>
      <c r="Q3" s="2">
        <v>0.20071689956728761</v>
      </c>
      <c r="R3" s="2">
        <v>1.3898305084745759</v>
      </c>
      <c r="S3" s="2">
        <v>0.20474943090936659</v>
      </c>
      <c r="T3" s="2">
        <v>0.14731971248356859</v>
      </c>
      <c r="U3" s="2">
        <v>0.44388669380380541</v>
      </c>
      <c r="V3" t="s">
        <v>31</v>
      </c>
      <c r="W3" t="s">
        <v>37</v>
      </c>
      <c r="X3" t="s">
        <v>38</v>
      </c>
      <c r="Y3" t="s">
        <v>39</v>
      </c>
      <c r="Z3" t="s">
        <v>40</v>
      </c>
      <c r="AA3" s="3">
        <v>3</v>
      </c>
      <c r="AB3" s="3">
        <v>4</v>
      </c>
      <c r="AC3" s="2">
        <v>0.43537369683447308</v>
      </c>
      <c r="AD3" s="2">
        <v>0.50668221980912376</v>
      </c>
      <c r="AE3" s="2">
        <v>1.7454737730826471</v>
      </c>
      <c r="AF3" s="2">
        <v>1.994794081522093</v>
      </c>
    </row>
    <row r="4" spans="1:32" x14ac:dyDescent="0.3">
      <c r="A4" s="13" t="s">
        <v>41</v>
      </c>
      <c r="B4">
        <v>23</v>
      </c>
      <c r="C4">
        <v>18</v>
      </c>
      <c r="D4">
        <v>29</v>
      </c>
      <c r="E4">
        <v>35</v>
      </c>
      <c r="F4">
        <v>31</v>
      </c>
      <c r="G4">
        <v>36</v>
      </c>
      <c r="H4">
        <v>54</v>
      </c>
      <c r="I4">
        <v>63</v>
      </c>
      <c r="J4">
        <v>33.5</v>
      </c>
      <c r="K4">
        <v>2.5</v>
      </c>
      <c r="L4" s="2">
        <v>0.61194029850746268</v>
      </c>
      <c r="M4" s="2">
        <v>8.7490919521744162E-2</v>
      </c>
      <c r="N4" s="2">
        <v>0.1429729660477283</v>
      </c>
      <c r="O4" s="2">
        <v>0.95522388059701491</v>
      </c>
      <c r="P4" s="2">
        <v>0.1144605024786326</v>
      </c>
      <c r="Q4" s="2">
        <v>0.1198258385323185</v>
      </c>
      <c r="R4" s="2">
        <v>1.7462686567164181</v>
      </c>
      <c r="S4" s="2">
        <v>0.1871551067427662</v>
      </c>
      <c r="T4" s="2">
        <v>0.10717429189543019</v>
      </c>
      <c r="U4" s="2">
        <v>0.36997309647547699</v>
      </c>
      <c r="V4" t="s">
        <v>31</v>
      </c>
      <c r="W4" t="s">
        <v>42</v>
      </c>
      <c r="X4" t="s">
        <v>42</v>
      </c>
      <c r="Y4" t="s">
        <v>39</v>
      </c>
      <c r="Z4" t="s">
        <v>40</v>
      </c>
      <c r="AA4" s="3">
        <v>2</v>
      </c>
      <c r="AB4" s="3">
        <v>2</v>
      </c>
      <c r="AC4" s="2">
        <v>0.40291083857945531</v>
      </c>
      <c r="AD4" s="2">
        <v>0.87475891380559723</v>
      </c>
      <c r="AE4" s="2">
        <v>3.1276955325643989</v>
      </c>
      <c r="AF4" s="2">
        <v>3.699723147554161</v>
      </c>
    </row>
    <row r="5" spans="1:32" x14ac:dyDescent="0.3">
      <c r="A5" s="13" t="s">
        <v>43</v>
      </c>
      <c r="B5">
        <v>239</v>
      </c>
      <c r="C5">
        <v>219</v>
      </c>
      <c r="D5">
        <v>200</v>
      </c>
      <c r="E5">
        <v>213</v>
      </c>
      <c r="F5">
        <v>243</v>
      </c>
      <c r="G5">
        <v>247</v>
      </c>
      <c r="H5">
        <v>266</v>
      </c>
      <c r="I5">
        <v>379</v>
      </c>
      <c r="J5">
        <v>245</v>
      </c>
      <c r="K5">
        <v>2</v>
      </c>
      <c r="L5" s="2">
        <v>0.9346938775510204</v>
      </c>
      <c r="M5" s="2">
        <v>4.1523388145487443E-2</v>
      </c>
      <c r="N5" s="2">
        <v>4.4424585570499657E-2</v>
      </c>
      <c r="O5" s="2">
        <v>0.84285714285714286</v>
      </c>
      <c r="P5" s="2">
        <v>2.7408287158551481E-2</v>
      </c>
      <c r="Q5" s="2">
        <v>3.2518306798281417E-2</v>
      </c>
      <c r="R5" s="2">
        <v>1.3163265306122449</v>
      </c>
      <c r="S5" s="2">
        <v>0.23086245635648159</v>
      </c>
      <c r="T5" s="2">
        <v>0.175383881573141</v>
      </c>
      <c r="U5" s="2">
        <v>0.2523267739419221</v>
      </c>
      <c r="V5" t="s">
        <v>44</v>
      </c>
      <c r="W5" t="s">
        <v>32</v>
      </c>
      <c r="X5" t="s">
        <v>45</v>
      </c>
      <c r="Y5" t="s">
        <v>39</v>
      </c>
      <c r="Z5" t="s">
        <v>40</v>
      </c>
      <c r="AA5" s="3">
        <v>4</v>
      </c>
      <c r="AB5" s="3">
        <v>5</v>
      </c>
      <c r="AC5" s="2">
        <v>0.43610966311944022</v>
      </c>
      <c r="AD5" s="2">
        <v>0.90269851226235065</v>
      </c>
      <c r="AE5" s="2">
        <v>2.6604543657347208</v>
      </c>
      <c r="AF5" s="2">
        <v>1.5135499103764469</v>
      </c>
    </row>
    <row r="6" spans="1:32" x14ac:dyDescent="0.3">
      <c r="A6" s="13" t="s">
        <v>46</v>
      </c>
      <c r="B6">
        <v>299</v>
      </c>
      <c r="C6">
        <v>181</v>
      </c>
      <c r="D6">
        <v>276</v>
      </c>
      <c r="E6">
        <v>257</v>
      </c>
      <c r="F6">
        <v>269</v>
      </c>
      <c r="G6">
        <v>289</v>
      </c>
      <c r="H6">
        <v>351</v>
      </c>
      <c r="I6">
        <v>373</v>
      </c>
      <c r="J6">
        <v>279</v>
      </c>
      <c r="K6">
        <v>10</v>
      </c>
      <c r="L6" s="2">
        <v>0.86021505376344087</v>
      </c>
      <c r="M6" s="2">
        <v>0.2137053603366737</v>
      </c>
      <c r="N6" s="2">
        <v>0.2484324813913831</v>
      </c>
      <c r="O6" s="2">
        <v>0.95519713261648742</v>
      </c>
      <c r="P6" s="2">
        <v>4.8286122735696012E-2</v>
      </c>
      <c r="Q6" s="2">
        <v>5.0550950256132043E-2</v>
      </c>
      <c r="R6" s="2">
        <v>1.2974910394265231</v>
      </c>
      <c r="S6" s="2">
        <v>6.0968605825491511E-2</v>
      </c>
      <c r="T6" s="2">
        <v>4.6989616092022457E-2</v>
      </c>
      <c r="U6" s="2">
        <v>0.34597304773953758</v>
      </c>
      <c r="V6" t="s">
        <v>31</v>
      </c>
      <c r="W6" t="s">
        <v>32</v>
      </c>
      <c r="X6" t="s">
        <v>47</v>
      </c>
      <c r="Y6" t="s">
        <v>48</v>
      </c>
      <c r="Z6" t="s">
        <v>49</v>
      </c>
      <c r="AA6" s="3">
        <v>4</v>
      </c>
      <c r="AB6" s="3">
        <v>4</v>
      </c>
      <c r="AC6" s="2">
        <v>0.43484623511157622</v>
      </c>
      <c r="AD6" s="2">
        <v>0.97741988371775723</v>
      </c>
      <c r="AE6" s="2">
        <v>1.009015489853391</v>
      </c>
      <c r="AF6" s="2">
        <v>0.84562953829500642</v>
      </c>
    </row>
    <row r="7" spans="1:32" x14ac:dyDescent="0.3">
      <c r="A7" s="13" t="s">
        <v>50</v>
      </c>
      <c r="B7">
        <v>3647</v>
      </c>
      <c r="C7">
        <v>1942</v>
      </c>
      <c r="D7">
        <v>3164</v>
      </c>
      <c r="E7">
        <v>3096</v>
      </c>
      <c r="F7">
        <v>3525</v>
      </c>
      <c r="G7">
        <v>3560</v>
      </c>
      <c r="H7">
        <v>3631</v>
      </c>
      <c r="I7">
        <v>4671</v>
      </c>
      <c r="J7">
        <v>3542.5</v>
      </c>
      <c r="K7">
        <v>17.5</v>
      </c>
      <c r="L7" s="2">
        <v>0.78884968242766407</v>
      </c>
      <c r="M7" s="2">
        <v>0.2406808091819391</v>
      </c>
      <c r="N7" s="2">
        <v>0.30510351280265491</v>
      </c>
      <c r="O7" s="2">
        <v>0.8835568101623148</v>
      </c>
      <c r="P7" s="2">
        <v>1.0543622599178589E-2</v>
      </c>
      <c r="Q7" s="2">
        <v>1.193315752638663E-2</v>
      </c>
      <c r="R7" s="2">
        <v>1.1717713479181371</v>
      </c>
      <c r="S7" s="2">
        <v>0.14690308143639541</v>
      </c>
      <c r="T7" s="2">
        <v>0.1253683849646906</v>
      </c>
      <c r="U7" s="2">
        <v>0.4424050552937322</v>
      </c>
      <c r="V7" t="s">
        <v>31</v>
      </c>
      <c r="W7" t="s">
        <v>51</v>
      </c>
      <c r="X7" t="s">
        <v>33</v>
      </c>
      <c r="Y7" t="s">
        <v>39</v>
      </c>
      <c r="Z7" t="s">
        <v>40</v>
      </c>
      <c r="AA7" s="3">
        <v>4</v>
      </c>
      <c r="AB7" s="3">
        <v>6</v>
      </c>
      <c r="AC7" s="2">
        <v>1</v>
      </c>
      <c r="AD7" s="2">
        <v>0.78164877195579741</v>
      </c>
      <c r="AE7" s="2">
        <v>1.295225743235358</v>
      </c>
      <c r="AF7" s="2">
        <v>0.75745738131486828</v>
      </c>
    </row>
    <row r="8" spans="1:32" x14ac:dyDescent="0.3">
      <c r="A8" s="13" t="s">
        <v>52</v>
      </c>
      <c r="B8">
        <v>1379</v>
      </c>
      <c r="C8">
        <v>982</v>
      </c>
      <c r="D8">
        <v>1282</v>
      </c>
      <c r="E8">
        <v>1193</v>
      </c>
      <c r="F8">
        <v>1117</v>
      </c>
      <c r="G8">
        <v>1460</v>
      </c>
      <c r="H8">
        <v>2100</v>
      </c>
      <c r="I8">
        <v>1685</v>
      </c>
      <c r="J8">
        <v>1288.5</v>
      </c>
      <c r="K8">
        <v>171.5</v>
      </c>
      <c r="L8" s="2">
        <v>0.91618160651920844</v>
      </c>
      <c r="M8" s="2">
        <v>0.19647740561288021</v>
      </c>
      <c r="N8" s="2">
        <v>0.2144524668633597</v>
      </c>
      <c r="O8" s="2">
        <v>0.96041909196740394</v>
      </c>
      <c r="P8" s="2">
        <v>0.1324154180847901</v>
      </c>
      <c r="Q8" s="2">
        <v>0.13787253834525409</v>
      </c>
      <c r="R8" s="2">
        <v>1.468762126503687</v>
      </c>
      <c r="S8" s="2">
        <v>0.25328122082020582</v>
      </c>
      <c r="T8" s="2">
        <v>0.17244536487547429</v>
      </c>
      <c r="U8" s="2">
        <v>0.52477037008408811</v>
      </c>
      <c r="V8" t="s">
        <v>53</v>
      </c>
      <c r="W8" t="s">
        <v>37</v>
      </c>
      <c r="X8" t="s">
        <v>33</v>
      </c>
      <c r="Y8" t="s">
        <v>34</v>
      </c>
      <c r="Z8" t="s">
        <v>35</v>
      </c>
      <c r="AA8" s="3">
        <v>3</v>
      </c>
      <c r="AB8" s="3">
        <v>3</v>
      </c>
      <c r="AC8" s="2">
        <v>0.9685016431727077</v>
      </c>
      <c r="AD8" s="2">
        <v>0.80822148740597699</v>
      </c>
      <c r="AE8" s="2">
        <v>1.170117979275572</v>
      </c>
      <c r="AF8" s="2">
        <v>1.079050842487516</v>
      </c>
    </row>
    <row r="9" spans="1:32" x14ac:dyDescent="0.3">
      <c r="A9" s="13" t="s">
        <v>54</v>
      </c>
      <c r="B9">
        <v>3139</v>
      </c>
      <c r="C9">
        <v>2913</v>
      </c>
      <c r="D9">
        <v>2988</v>
      </c>
      <c r="E9">
        <v>2857</v>
      </c>
      <c r="F9">
        <v>2906</v>
      </c>
      <c r="G9">
        <v>3297</v>
      </c>
      <c r="H9">
        <v>4208</v>
      </c>
      <c r="I9">
        <v>4628</v>
      </c>
      <c r="J9">
        <v>3101.5</v>
      </c>
      <c r="K9">
        <v>195.5</v>
      </c>
      <c r="L9" s="2">
        <v>0.97565694019023053</v>
      </c>
      <c r="M9" s="2">
        <v>7.1481696124050323E-2</v>
      </c>
      <c r="N9" s="2">
        <v>7.3265195151600154E-2</v>
      </c>
      <c r="O9" s="2">
        <v>0.94228599064968566</v>
      </c>
      <c r="P9" s="2">
        <v>6.3038856403830071E-2</v>
      </c>
      <c r="Q9" s="2">
        <v>6.6899918951746434E-2</v>
      </c>
      <c r="R9" s="2">
        <v>1.424472029663066</v>
      </c>
      <c r="S9" s="2">
        <v>0.1124580400018548</v>
      </c>
      <c r="T9" s="2">
        <v>7.8947173170156801E-2</v>
      </c>
      <c r="U9" s="2">
        <v>0.2191122872735034</v>
      </c>
      <c r="V9" t="s">
        <v>44</v>
      </c>
      <c r="W9" t="s">
        <v>37</v>
      </c>
      <c r="X9" t="s">
        <v>55</v>
      </c>
      <c r="Y9" t="s">
        <v>56</v>
      </c>
      <c r="Z9" t="s">
        <v>57</v>
      </c>
      <c r="AA9" s="3">
        <v>3</v>
      </c>
      <c r="AB9" s="3">
        <v>3</v>
      </c>
      <c r="AC9" s="2">
        <v>0.42611992948085198</v>
      </c>
      <c r="AD9" s="2">
        <v>0.50382509334504078</v>
      </c>
      <c r="AE9" s="2">
        <v>0.67257577574952199</v>
      </c>
      <c r="AF9" s="2">
        <v>0.88648157475206713</v>
      </c>
    </row>
    <row r="10" spans="1:32" x14ac:dyDescent="0.3">
      <c r="A10" s="13" t="s">
        <v>58</v>
      </c>
      <c r="B10">
        <v>415</v>
      </c>
      <c r="C10">
        <v>334</v>
      </c>
      <c r="D10">
        <v>319</v>
      </c>
      <c r="E10">
        <v>358</v>
      </c>
      <c r="F10">
        <v>350</v>
      </c>
      <c r="G10">
        <v>361</v>
      </c>
      <c r="H10">
        <v>384</v>
      </c>
      <c r="I10">
        <v>516</v>
      </c>
      <c r="J10">
        <v>355.5</v>
      </c>
      <c r="K10">
        <v>5.5</v>
      </c>
      <c r="L10" s="2">
        <v>1.0534458509142051</v>
      </c>
      <c r="M10" s="2">
        <v>0.1150839490332857</v>
      </c>
      <c r="N10" s="2">
        <v>0.10924524400890009</v>
      </c>
      <c r="O10" s="2">
        <v>0.95218002812939517</v>
      </c>
      <c r="P10" s="2">
        <v>5.6796032968166751E-2</v>
      </c>
      <c r="Q10" s="2">
        <v>5.9648418671147063E-2</v>
      </c>
      <c r="R10" s="2">
        <v>1.2658227848101271</v>
      </c>
      <c r="S10" s="2">
        <v>0.18668404954604151</v>
      </c>
      <c r="T10" s="2">
        <v>0.14748039914137279</v>
      </c>
      <c r="U10" s="2">
        <v>0.31637406182141992</v>
      </c>
      <c r="V10" t="s">
        <v>31</v>
      </c>
      <c r="W10" t="s">
        <v>32</v>
      </c>
      <c r="X10" t="s">
        <v>55</v>
      </c>
      <c r="Y10" t="s">
        <v>56</v>
      </c>
      <c r="Z10" t="s">
        <v>57</v>
      </c>
      <c r="AA10" s="3">
        <v>3</v>
      </c>
      <c r="AB10" s="3">
        <v>5</v>
      </c>
      <c r="AC10" s="2">
        <v>0.9446323451399985</v>
      </c>
      <c r="AD10" s="2">
        <v>0.75317532089765238</v>
      </c>
      <c r="AE10" s="2">
        <v>1.624439492836254</v>
      </c>
      <c r="AF10" s="2">
        <v>1.769178629919776</v>
      </c>
    </row>
    <row r="11" spans="1:32" x14ac:dyDescent="0.3">
      <c r="A11" s="13" t="s">
        <v>59</v>
      </c>
      <c r="B11">
        <v>327</v>
      </c>
      <c r="C11">
        <v>207</v>
      </c>
      <c r="D11">
        <v>314</v>
      </c>
      <c r="E11">
        <v>296</v>
      </c>
      <c r="F11">
        <v>297</v>
      </c>
      <c r="G11">
        <v>333</v>
      </c>
      <c r="H11">
        <v>404</v>
      </c>
      <c r="I11">
        <v>531</v>
      </c>
      <c r="J11">
        <v>315</v>
      </c>
      <c r="K11">
        <v>18</v>
      </c>
      <c r="L11" s="2">
        <v>0.84761904761904761</v>
      </c>
      <c r="M11" s="2">
        <v>0.19653794699075169</v>
      </c>
      <c r="N11" s="2">
        <v>0.23187061161830261</v>
      </c>
      <c r="O11" s="2">
        <v>0.96825396825396826</v>
      </c>
      <c r="P11" s="2">
        <v>6.2270397777056459E-2</v>
      </c>
      <c r="Q11" s="2">
        <v>6.4312050163189458E-2</v>
      </c>
      <c r="R11" s="2">
        <v>1.484126984126984</v>
      </c>
      <c r="S11" s="2">
        <v>0.21870004771718499</v>
      </c>
      <c r="T11" s="2">
        <v>0.14735939044045621</v>
      </c>
      <c r="U11" s="2">
        <v>0.4435420522219482</v>
      </c>
      <c r="V11" t="s">
        <v>31</v>
      </c>
      <c r="W11" t="s">
        <v>37</v>
      </c>
      <c r="X11" t="s">
        <v>33</v>
      </c>
      <c r="Y11" t="s">
        <v>56</v>
      </c>
      <c r="Z11" t="s">
        <v>57</v>
      </c>
      <c r="AA11" s="3">
        <v>2</v>
      </c>
      <c r="AB11" s="3">
        <v>2</v>
      </c>
      <c r="AC11" s="2">
        <v>1</v>
      </c>
      <c r="AD11" s="2">
        <v>0.78120636035037871</v>
      </c>
      <c r="AE11" s="2">
        <v>1.483255301623585</v>
      </c>
      <c r="AF11" s="2">
        <v>1.552572324042395</v>
      </c>
    </row>
    <row r="12" spans="1:32" x14ac:dyDescent="0.3">
      <c r="A12" s="13" t="s">
        <v>60</v>
      </c>
      <c r="B12">
        <v>3026</v>
      </c>
      <c r="C12">
        <v>2179</v>
      </c>
      <c r="D12">
        <v>3099</v>
      </c>
      <c r="E12">
        <v>2697</v>
      </c>
      <c r="F12">
        <v>2922</v>
      </c>
      <c r="G12">
        <v>3405</v>
      </c>
      <c r="H12">
        <v>4924</v>
      </c>
      <c r="I12">
        <v>5014</v>
      </c>
      <c r="J12">
        <v>3163.5</v>
      </c>
      <c r="K12">
        <v>241.5</v>
      </c>
      <c r="L12" s="2">
        <v>0.82266477003319105</v>
      </c>
      <c r="M12" s="2">
        <v>0.14786965789530221</v>
      </c>
      <c r="N12" s="2">
        <v>0.17974473112460659</v>
      </c>
      <c r="O12" s="2">
        <v>0.91607396870554769</v>
      </c>
      <c r="P12" s="2">
        <v>9.4485717094184671E-2</v>
      </c>
      <c r="Q12" s="2">
        <v>0.1031420172627513</v>
      </c>
      <c r="R12" s="2">
        <v>1.570728623360202</v>
      </c>
      <c r="S12" s="2">
        <v>0.1207494263586547</v>
      </c>
      <c r="T12" s="2">
        <v>7.6874785728638401E-2</v>
      </c>
      <c r="U12" s="2">
        <v>0.35976153411599621</v>
      </c>
      <c r="V12" t="s">
        <v>31</v>
      </c>
      <c r="W12" t="s">
        <v>37</v>
      </c>
      <c r="X12" t="s">
        <v>61</v>
      </c>
      <c r="Y12" t="s">
        <v>62</v>
      </c>
      <c r="Z12" t="s">
        <v>63</v>
      </c>
      <c r="AA12" s="3">
        <v>2</v>
      </c>
      <c r="AB12" s="3">
        <v>2</v>
      </c>
      <c r="AC12" s="2">
        <v>1</v>
      </c>
      <c r="AD12" s="2">
        <v>0.97001253136528354</v>
      </c>
      <c r="AE12" s="2">
        <v>0.69890202362849352</v>
      </c>
      <c r="AF12" s="2">
        <v>0.68094881838548038</v>
      </c>
    </row>
    <row r="13" spans="1:32" x14ac:dyDescent="0.3">
      <c r="A13" s="13" t="s">
        <v>64</v>
      </c>
      <c r="B13">
        <v>512</v>
      </c>
      <c r="C13">
        <v>271</v>
      </c>
      <c r="D13">
        <v>427</v>
      </c>
      <c r="E13">
        <v>456</v>
      </c>
      <c r="F13">
        <v>447</v>
      </c>
      <c r="G13">
        <v>457</v>
      </c>
      <c r="H13">
        <v>567</v>
      </c>
      <c r="I13">
        <v>628</v>
      </c>
      <c r="J13">
        <v>452</v>
      </c>
      <c r="K13">
        <v>5</v>
      </c>
      <c r="L13" s="2">
        <v>0.86615044247787609</v>
      </c>
      <c r="M13" s="2">
        <v>0.26676504022847097</v>
      </c>
      <c r="N13" s="2">
        <v>0.30798926739021432</v>
      </c>
      <c r="O13" s="2">
        <v>0.97676991150442483</v>
      </c>
      <c r="P13" s="2">
        <v>3.3850424138691639E-2</v>
      </c>
      <c r="Q13" s="2">
        <v>3.4655473863394383E-2</v>
      </c>
      <c r="R13" s="2">
        <v>1.321902654867257</v>
      </c>
      <c r="S13" s="2">
        <v>6.904412024345867E-2</v>
      </c>
      <c r="T13" s="2">
        <v>5.2230865857813093E-2</v>
      </c>
      <c r="U13" s="2">
        <v>0.39487560711142178</v>
      </c>
      <c r="V13" t="s">
        <v>31</v>
      </c>
      <c r="W13" t="s">
        <v>32</v>
      </c>
      <c r="X13" t="s">
        <v>33</v>
      </c>
      <c r="Y13" t="s">
        <v>48</v>
      </c>
      <c r="Z13" t="s">
        <v>49</v>
      </c>
      <c r="AA13" s="3">
        <v>4</v>
      </c>
      <c r="AB13" s="3">
        <v>4</v>
      </c>
      <c r="AC13" s="2">
        <v>0.43484623511157622</v>
      </c>
      <c r="AD13" s="2">
        <v>0.4887182176803585</v>
      </c>
      <c r="AE13" s="2">
        <v>1.475866549898986</v>
      </c>
      <c r="AF13" s="2">
        <v>0.84468633257345294</v>
      </c>
    </row>
    <row r="14" spans="1:32" x14ac:dyDescent="0.3">
      <c r="A14" s="13" t="s">
        <v>65</v>
      </c>
      <c r="B14">
        <v>154</v>
      </c>
      <c r="C14">
        <v>94</v>
      </c>
      <c r="D14">
        <v>139</v>
      </c>
      <c r="E14">
        <v>110</v>
      </c>
      <c r="F14">
        <v>133</v>
      </c>
      <c r="G14">
        <v>138</v>
      </c>
      <c r="H14">
        <v>265</v>
      </c>
      <c r="I14">
        <v>220</v>
      </c>
      <c r="J14">
        <v>135.5</v>
      </c>
      <c r="K14">
        <v>2.5</v>
      </c>
      <c r="L14" s="2">
        <v>0.91512915129151295</v>
      </c>
      <c r="M14" s="2">
        <v>0.22204508555082589</v>
      </c>
      <c r="N14" s="2">
        <v>0.24263797654949121</v>
      </c>
      <c r="O14" s="2">
        <v>0.91881918819188191</v>
      </c>
      <c r="P14" s="2">
        <v>0.1083455233691141</v>
      </c>
      <c r="Q14" s="2">
        <v>0.1179182202129716</v>
      </c>
      <c r="R14" s="2">
        <v>1.789667896678967</v>
      </c>
      <c r="S14" s="2">
        <v>0.16930284917660329</v>
      </c>
      <c r="T14" s="2">
        <v>9.4600148715174207E-2</v>
      </c>
      <c r="U14" s="2">
        <v>0.45515634547763689</v>
      </c>
      <c r="V14" t="s">
        <v>53</v>
      </c>
      <c r="W14" t="s">
        <v>37</v>
      </c>
      <c r="X14" t="s">
        <v>66</v>
      </c>
      <c r="Y14" t="s">
        <v>48</v>
      </c>
      <c r="Z14" t="s">
        <v>49</v>
      </c>
      <c r="AA14" s="3">
        <v>1</v>
      </c>
      <c r="AB14" s="3">
        <v>1</v>
      </c>
      <c r="AC14" s="2">
        <v>0.40781806110033031</v>
      </c>
      <c r="AD14" s="2">
        <v>0.73248931970130371</v>
      </c>
      <c r="AE14" s="2">
        <v>2.4675566909580051</v>
      </c>
      <c r="AF14" s="2">
        <v>2.6085344793158711</v>
      </c>
    </row>
    <row r="15" spans="1:32" x14ac:dyDescent="0.3">
      <c r="A15" s="13" t="s">
        <v>67</v>
      </c>
      <c r="B15">
        <v>580</v>
      </c>
      <c r="C15">
        <v>303</v>
      </c>
      <c r="D15">
        <v>518</v>
      </c>
      <c r="E15">
        <v>497</v>
      </c>
      <c r="F15">
        <v>537</v>
      </c>
      <c r="G15">
        <v>571</v>
      </c>
      <c r="H15">
        <v>603</v>
      </c>
      <c r="I15">
        <v>790</v>
      </c>
      <c r="J15">
        <v>554</v>
      </c>
      <c r="K15">
        <v>17</v>
      </c>
      <c r="L15" s="2">
        <v>0.79693140794223827</v>
      </c>
      <c r="M15" s="2">
        <v>0.25119320489244479</v>
      </c>
      <c r="N15" s="2">
        <v>0.31520053343242233</v>
      </c>
      <c r="O15" s="2">
        <v>0.91606498194945851</v>
      </c>
      <c r="P15" s="2">
        <v>3.3902914656815747E-2</v>
      </c>
      <c r="Q15" s="2">
        <v>3.7009290088425469E-2</v>
      </c>
      <c r="R15" s="2">
        <v>1.2572202166064981</v>
      </c>
      <c r="S15" s="2">
        <v>0.17312571794513559</v>
      </c>
      <c r="T15" s="2">
        <v>0.1377051654581552</v>
      </c>
      <c r="U15" s="2">
        <v>0.48991498897900287</v>
      </c>
      <c r="V15" t="s">
        <v>53</v>
      </c>
      <c r="W15" t="s">
        <v>51</v>
      </c>
      <c r="X15" t="s">
        <v>33</v>
      </c>
      <c r="Y15" t="s">
        <v>56</v>
      </c>
      <c r="Z15" t="s">
        <v>57</v>
      </c>
      <c r="AA15" s="3">
        <v>4</v>
      </c>
      <c r="AB15" s="3">
        <v>6</v>
      </c>
      <c r="AC15" s="2">
        <v>0.34296040076297551</v>
      </c>
      <c r="AD15" s="2">
        <v>0.9391904983666518</v>
      </c>
      <c r="AE15" s="2">
        <v>0.57885365454154036</v>
      </c>
      <c r="AF15" s="2">
        <v>1.2973967466703791</v>
      </c>
    </row>
    <row r="16" spans="1:32" x14ac:dyDescent="0.3">
      <c r="A16" s="13" t="s">
        <v>68</v>
      </c>
      <c r="B16">
        <v>3239</v>
      </c>
      <c r="C16">
        <v>2003</v>
      </c>
      <c r="D16">
        <v>2724</v>
      </c>
      <c r="E16">
        <v>2653</v>
      </c>
      <c r="F16">
        <v>3117</v>
      </c>
      <c r="G16">
        <v>2868</v>
      </c>
      <c r="H16">
        <v>2828</v>
      </c>
      <c r="I16">
        <v>4626</v>
      </c>
      <c r="J16">
        <v>2992.5</v>
      </c>
      <c r="K16">
        <v>124.5</v>
      </c>
      <c r="L16" s="2">
        <v>0.87585630743525478</v>
      </c>
      <c r="M16" s="2">
        <v>0.20970643496468919</v>
      </c>
      <c r="N16" s="2">
        <v>0.23943018185113801</v>
      </c>
      <c r="O16" s="2">
        <v>0.89841269841269844</v>
      </c>
      <c r="P16" s="2">
        <v>3.9214963447691931E-2</v>
      </c>
      <c r="Q16" s="2">
        <v>4.3649164261565232E-2</v>
      </c>
      <c r="R16" s="2">
        <v>1.2454469507101089</v>
      </c>
      <c r="S16" s="2">
        <v>0.30485349948596979</v>
      </c>
      <c r="T16" s="2">
        <v>0.24477437542574851</v>
      </c>
      <c r="U16" s="2">
        <v>0.52785372153845167</v>
      </c>
      <c r="V16" t="s">
        <v>53</v>
      </c>
      <c r="W16" t="s">
        <v>32</v>
      </c>
      <c r="X16" t="s">
        <v>33</v>
      </c>
      <c r="Y16" t="s">
        <v>56</v>
      </c>
      <c r="Z16" t="s">
        <v>57</v>
      </c>
      <c r="AA16" s="3">
        <v>4</v>
      </c>
      <c r="AB16" s="3">
        <v>6</v>
      </c>
      <c r="AC16" s="2">
        <v>0.42541821792360501</v>
      </c>
      <c r="AD16" s="2">
        <v>0.50827613832347229</v>
      </c>
      <c r="AE16" s="2">
        <v>0.76405053096249287</v>
      </c>
      <c r="AF16" s="2">
        <v>1.5105328224148871</v>
      </c>
    </row>
    <row r="17" spans="1:32" x14ac:dyDescent="0.3">
      <c r="A17" s="13" t="s">
        <v>69</v>
      </c>
      <c r="B17">
        <v>1543</v>
      </c>
      <c r="C17">
        <v>965</v>
      </c>
      <c r="D17">
        <v>1315</v>
      </c>
      <c r="E17">
        <v>1167</v>
      </c>
      <c r="F17">
        <v>1382</v>
      </c>
      <c r="G17">
        <v>1283</v>
      </c>
      <c r="H17">
        <v>1268</v>
      </c>
      <c r="I17">
        <v>1829</v>
      </c>
      <c r="J17">
        <v>1332.5</v>
      </c>
      <c r="K17">
        <v>49.5</v>
      </c>
      <c r="L17" s="2">
        <v>0.94108818011257034</v>
      </c>
      <c r="M17" s="2">
        <v>0.2196850639475374</v>
      </c>
      <c r="N17" s="2">
        <v>0.2334372788756727</v>
      </c>
      <c r="O17" s="2">
        <v>0.93133208255159472</v>
      </c>
      <c r="P17" s="2">
        <v>6.5429954557459494E-2</v>
      </c>
      <c r="Q17" s="2">
        <v>7.0254161521204492E-2</v>
      </c>
      <c r="R17" s="2">
        <v>1.162101313320826</v>
      </c>
      <c r="S17" s="2">
        <v>0.21488755858846489</v>
      </c>
      <c r="T17" s="2">
        <v>0.1849129298153887</v>
      </c>
      <c r="U17" s="2">
        <v>0.48860437021226588</v>
      </c>
      <c r="V17" t="s">
        <v>53</v>
      </c>
      <c r="W17" t="s">
        <v>70</v>
      </c>
      <c r="X17" t="s">
        <v>33</v>
      </c>
      <c r="Y17" t="s">
        <v>56</v>
      </c>
      <c r="Z17" t="s">
        <v>57</v>
      </c>
      <c r="AA17" s="3">
        <v>4</v>
      </c>
      <c r="AB17" s="3">
        <v>6</v>
      </c>
      <c r="AC17" s="2">
        <v>1</v>
      </c>
      <c r="AD17" s="2">
        <v>0.9391904983666518</v>
      </c>
      <c r="AE17" s="2">
        <v>1.8093533983586529</v>
      </c>
      <c r="AF17" s="2">
        <v>1.829982018575161</v>
      </c>
    </row>
    <row r="18" spans="1:32" x14ac:dyDescent="0.3">
      <c r="A18" s="13" t="s">
        <v>71</v>
      </c>
      <c r="B18">
        <v>876</v>
      </c>
      <c r="C18">
        <v>523</v>
      </c>
      <c r="D18">
        <v>881</v>
      </c>
      <c r="E18">
        <v>799</v>
      </c>
      <c r="F18">
        <v>843</v>
      </c>
      <c r="G18">
        <v>947</v>
      </c>
      <c r="H18">
        <v>943</v>
      </c>
      <c r="I18">
        <v>1020</v>
      </c>
      <c r="J18">
        <v>895</v>
      </c>
      <c r="K18">
        <v>52</v>
      </c>
      <c r="L18" s="2">
        <v>0.7815642458100559</v>
      </c>
      <c r="M18" s="2">
        <v>0.20236721658275861</v>
      </c>
      <c r="N18" s="2">
        <v>0.25892588826528801</v>
      </c>
      <c r="O18" s="2">
        <v>0.93854748603351956</v>
      </c>
      <c r="P18" s="2">
        <v>7.1218653824181521E-2</v>
      </c>
      <c r="Q18" s="2">
        <v>7.5881779967431506E-2</v>
      </c>
      <c r="R18" s="2">
        <v>1.0966480446927369</v>
      </c>
      <c r="S18" s="2">
        <v>7.6877519166572414E-2</v>
      </c>
      <c r="T18" s="2">
        <v>7.0102271680165376E-2</v>
      </c>
      <c r="U18" s="2">
        <v>0.40490993991288488</v>
      </c>
      <c r="V18" t="s">
        <v>31</v>
      </c>
      <c r="W18" t="s">
        <v>72</v>
      </c>
      <c r="X18" t="s">
        <v>33</v>
      </c>
      <c r="Y18" t="s">
        <v>56</v>
      </c>
      <c r="Z18" t="s">
        <v>57</v>
      </c>
      <c r="AA18" s="3">
        <v>4</v>
      </c>
      <c r="AB18" s="3">
        <v>6</v>
      </c>
      <c r="AC18" s="2">
        <v>0.96818974534452151</v>
      </c>
      <c r="AD18" s="2">
        <v>0.9391904983666518</v>
      </c>
      <c r="AE18" s="2">
        <v>2.3125803145116972</v>
      </c>
      <c r="AF18" s="2">
        <v>2.159470222219785</v>
      </c>
    </row>
    <row r="19" spans="1:32" x14ac:dyDescent="0.3">
      <c r="A19" s="13" t="s">
        <v>73</v>
      </c>
      <c r="B19">
        <v>174</v>
      </c>
      <c r="C19">
        <v>107</v>
      </c>
      <c r="D19">
        <v>151</v>
      </c>
      <c r="E19">
        <v>154</v>
      </c>
      <c r="F19">
        <v>155</v>
      </c>
      <c r="G19">
        <v>158</v>
      </c>
      <c r="H19">
        <v>183</v>
      </c>
      <c r="I19">
        <v>288</v>
      </c>
      <c r="J19">
        <v>156.5</v>
      </c>
      <c r="K19">
        <v>1.5</v>
      </c>
      <c r="L19" s="2">
        <v>0.89776357827476039</v>
      </c>
      <c r="M19" s="2">
        <v>0.21423038689074181</v>
      </c>
      <c r="N19" s="2">
        <v>0.23862672988185829</v>
      </c>
      <c r="O19" s="2">
        <v>0.9744408945686901</v>
      </c>
      <c r="P19" s="2">
        <v>1.3382659918430439E-2</v>
      </c>
      <c r="Q19" s="2">
        <v>1.373368050645484E-2</v>
      </c>
      <c r="R19" s="2">
        <v>1.5047923322683709</v>
      </c>
      <c r="S19" s="2">
        <v>0.33577316583741518</v>
      </c>
      <c r="T19" s="2">
        <v>0.2231358830299596</v>
      </c>
      <c r="U19" s="2">
        <v>0.47549629341827282</v>
      </c>
      <c r="V19" t="s">
        <v>53</v>
      </c>
      <c r="W19" t="s">
        <v>37</v>
      </c>
      <c r="X19" t="s">
        <v>33</v>
      </c>
      <c r="Y19" t="s">
        <v>74</v>
      </c>
      <c r="Z19" t="s">
        <v>75</v>
      </c>
      <c r="AA19" s="3">
        <v>1</v>
      </c>
      <c r="AB19" s="3">
        <v>3</v>
      </c>
      <c r="AC19" s="2">
        <v>1</v>
      </c>
      <c r="AD19" s="2">
        <v>0.96927219997237946</v>
      </c>
      <c r="AE19" s="2">
        <v>1.542149837433112</v>
      </c>
      <c r="AF19" s="2">
        <v>1.4171624845066739</v>
      </c>
    </row>
    <row r="20" spans="1:32" x14ac:dyDescent="0.3">
      <c r="A20" s="13" t="s">
        <v>76</v>
      </c>
      <c r="B20">
        <v>809</v>
      </c>
      <c r="C20">
        <v>645</v>
      </c>
      <c r="D20">
        <v>743</v>
      </c>
      <c r="E20">
        <v>755</v>
      </c>
      <c r="F20">
        <v>746</v>
      </c>
      <c r="G20">
        <v>754</v>
      </c>
      <c r="H20">
        <v>820</v>
      </c>
      <c r="I20">
        <v>1005</v>
      </c>
      <c r="J20">
        <v>750</v>
      </c>
      <c r="K20">
        <v>4</v>
      </c>
      <c r="L20" s="2">
        <v>0.96933333333333338</v>
      </c>
      <c r="M20" s="2">
        <v>0.1094554904061435</v>
      </c>
      <c r="N20" s="2">
        <v>0.1129183188509046</v>
      </c>
      <c r="O20" s="2">
        <v>0.9986666666666667</v>
      </c>
      <c r="P20" s="2">
        <v>9.6108606878101115E-3</v>
      </c>
      <c r="Q20" s="2">
        <v>9.6236922775134633E-3</v>
      </c>
      <c r="R20" s="2">
        <v>1.216666666666667</v>
      </c>
      <c r="S20" s="2">
        <v>0.1235039140680305</v>
      </c>
      <c r="T20" s="2">
        <v>0.10151006635728529</v>
      </c>
      <c r="U20" s="2">
        <v>0.22405207748570341</v>
      </c>
      <c r="V20" t="s">
        <v>44</v>
      </c>
      <c r="W20" t="s">
        <v>32</v>
      </c>
      <c r="X20" t="s">
        <v>55</v>
      </c>
      <c r="Y20" t="s">
        <v>77</v>
      </c>
      <c r="Z20" t="s">
        <v>78</v>
      </c>
      <c r="AA20" s="3">
        <v>3</v>
      </c>
      <c r="AB20" s="3">
        <v>5</v>
      </c>
      <c r="AC20" s="2">
        <v>1</v>
      </c>
      <c r="AD20" s="2">
        <v>0.94323467522962945</v>
      </c>
      <c r="AE20" s="2">
        <v>2.3628913016149169</v>
      </c>
      <c r="AF20" s="2">
        <v>2.1970993464374788</v>
      </c>
    </row>
    <row r="21" spans="1:32" x14ac:dyDescent="0.3">
      <c r="A21" s="13" t="s">
        <v>79</v>
      </c>
      <c r="B21">
        <v>504</v>
      </c>
      <c r="C21">
        <v>316</v>
      </c>
      <c r="D21">
        <v>411</v>
      </c>
      <c r="E21">
        <v>407</v>
      </c>
      <c r="F21">
        <v>466</v>
      </c>
      <c r="G21">
        <v>502</v>
      </c>
      <c r="H21">
        <v>456</v>
      </c>
      <c r="I21">
        <v>640</v>
      </c>
      <c r="J21">
        <v>484</v>
      </c>
      <c r="K21">
        <v>18</v>
      </c>
      <c r="L21" s="2">
        <v>0.84710743801652888</v>
      </c>
      <c r="M21" s="2">
        <v>0.1967534493042245</v>
      </c>
      <c r="N21" s="2">
        <v>0.23226504747132851</v>
      </c>
      <c r="O21" s="2">
        <v>0.8450413223140496</v>
      </c>
      <c r="P21" s="2">
        <v>3.1697657788659121E-2</v>
      </c>
      <c r="Q21" s="2">
        <v>3.7510186723009813E-2</v>
      </c>
      <c r="R21" s="2">
        <v>1.1322314049586779</v>
      </c>
      <c r="S21" s="2">
        <v>0.19469072110707131</v>
      </c>
      <c r="T21" s="2">
        <v>0.1719531186420119</v>
      </c>
      <c r="U21" s="2">
        <v>0.44172835283635009</v>
      </c>
      <c r="V21" t="s">
        <v>31</v>
      </c>
      <c r="W21" t="s">
        <v>70</v>
      </c>
      <c r="X21" t="s">
        <v>38</v>
      </c>
      <c r="Y21" t="s">
        <v>56</v>
      </c>
      <c r="Z21" t="s">
        <v>57</v>
      </c>
      <c r="AA21" s="3">
        <v>4</v>
      </c>
      <c r="AB21" s="3">
        <v>6</v>
      </c>
      <c r="AC21" s="2">
        <v>1</v>
      </c>
      <c r="AD21" s="2">
        <v>0.80480045400677669</v>
      </c>
      <c r="AE21" s="2">
        <v>1.6716990077585929</v>
      </c>
      <c r="AF21" s="2">
        <v>1.3387887448079689</v>
      </c>
    </row>
    <row r="22" spans="1:32" x14ac:dyDescent="0.3">
      <c r="A22" s="13" t="s">
        <v>80</v>
      </c>
      <c r="B22">
        <v>1269</v>
      </c>
      <c r="C22">
        <v>944</v>
      </c>
      <c r="D22">
        <v>1240</v>
      </c>
      <c r="E22">
        <v>1184</v>
      </c>
      <c r="F22">
        <v>1180</v>
      </c>
      <c r="G22">
        <v>1429</v>
      </c>
      <c r="H22">
        <v>2007</v>
      </c>
      <c r="I22">
        <v>1982</v>
      </c>
      <c r="J22">
        <v>1304.5</v>
      </c>
      <c r="K22">
        <v>124.5</v>
      </c>
      <c r="L22" s="2">
        <v>0.84821770793407436</v>
      </c>
      <c r="M22" s="2">
        <v>0.14856232298402311</v>
      </c>
      <c r="N22" s="2">
        <v>0.175146453079673</v>
      </c>
      <c r="O22" s="2">
        <v>0.9290916059793024</v>
      </c>
      <c r="P22" s="2">
        <v>9.1232319397630157E-2</v>
      </c>
      <c r="Q22" s="2">
        <v>9.8195182057927835E-2</v>
      </c>
      <c r="R22" s="2">
        <v>1.5289382905327711</v>
      </c>
      <c r="S22" s="2">
        <v>0.14623441759225311</v>
      </c>
      <c r="T22" s="2">
        <v>9.5644421032386129E-2</v>
      </c>
      <c r="U22" s="2">
        <v>0.36898605616998698</v>
      </c>
      <c r="V22" t="s">
        <v>31</v>
      </c>
      <c r="W22" t="s">
        <v>37</v>
      </c>
      <c r="X22" t="s">
        <v>61</v>
      </c>
      <c r="Y22" t="s">
        <v>77</v>
      </c>
      <c r="Z22" t="s">
        <v>78</v>
      </c>
      <c r="AA22" s="3">
        <v>2</v>
      </c>
      <c r="AB22" s="3">
        <v>2</v>
      </c>
      <c r="AC22" s="2">
        <v>1</v>
      </c>
      <c r="AD22" s="2">
        <v>0.94194873950493363</v>
      </c>
      <c r="AE22" s="2">
        <v>0.94166270332833946</v>
      </c>
      <c r="AF22" s="2">
        <v>0.9690740010945168</v>
      </c>
    </row>
    <row r="23" spans="1:32" x14ac:dyDescent="0.3">
      <c r="A23" s="13" t="s">
        <v>81</v>
      </c>
      <c r="B23">
        <v>521</v>
      </c>
      <c r="C23">
        <v>334</v>
      </c>
      <c r="D23">
        <v>425</v>
      </c>
      <c r="E23">
        <v>392</v>
      </c>
      <c r="F23">
        <v>398</v>
      </c>
      <c r="G23">
        <v>437</v>
      </c>
      <c r="H23">
        <v>535</v>
      </c>
      <c r="I23">
        <v>646</v>
      </c>
      <c r="J23">
        <v>417.5</v>
      </c>
      <c r="K23">
        <v>19.5</v>
      </c>
      <c r="L23" s="2">
        <v>1.023952095808383</v>
      </c>
      <c r="M23" s="2">
        <v>0.22900174945065721</v>
      </c>
      <c r="N23" s="2">
        <v>0.22364498338163599</v>
      </c>
      <c r="O23" s="2">
        <v>0.97844311377245508</v>
      </c>
      <c r="P23" s="2">
        <v>6.0418310170053197E-2</v>
      </c>
      <c r="Q23" s="2">
        <v>6.1749435730715327E-2</v>
      </c>
      <c r="R23" s="2">
        <v>1.41437125748503</v>
      </c>
      <c r="S23" s="2">
        <v>0.1484434806774019</v>
      </c>
      <c r="T23" s="2">
        <v>0.1049536887092553</v>
      </c>
      <c r="U23" s="2">
        <v>0.39034810782160673</v>
      </c>
      <c r="V23" t="s">
        <v>31</v>
      </c>
      <c r="W23" t="s">
        <v>37</v>
      </c>
      <c r="X23" t="s">
        <v>33</v>
      </c>
      <c r="Y23" t="s">
        <v>77</v>
      </c>
      <c r="Z23" t="s">
        <v>78</v>
      </c>
      <c r="AA23" s="3">
        <v>3</v>
      </c>
      <c r="AB23" s="3">
        <v>3</v>
      </c>
      <c r="AC23" s="2">
        <v>0.43044305819914702</v>
      </c>
      <c r="AD23" s="2">
        <v>0.50407115598172092</v>
      </c>
      <c r="AE23" s="2">
        <v>0.81659502823305563</v>
      </c>
      <c r="AF23" s="2">
        <v>0.85572755690555369</v>
      </c>
    </row>
    <row r="24" spans="1:32" x14ac:dyDescent="0.3">
      <c r="A24" s="13" t="s">
        <v>82</v>
      </c>
      <c r="B24">
        <v>56</v>
      </c>
      <c r="C24">
        <v>47</v>
      </c>
      <c r="D24">
        <v>51</v>
      </c>
      <c r="E24">
        <v>44</v>
      </c>
      <c r="F24">
        <v>51</v>
      </c>
      <c r="G24">
        <v>52</v>
      </c>
      <c r="H24">
        <v>95</v>
      </c>
      <c r="I24">
        <v>79</v>
      </c>
      <c r="J24">
        <v>51.5</v>
      </c>
      <c r="K24">
        <v>0.5</v>
      </c>
      <c r="L24" s="2">
        <v>1</v>
      </c>
      <c r="M24" s="2">
        <v>8.7916360564440937E-2</v>
      </c>
      <c r="N24" s="2">
        <v>8.7916360564440937E-2</v>
      </c>
      <c r="O24" s="2">
        <v>0.92233009708737868</v>
      </c>
      <c r="P24" s="2">
        <v>6.8548566074206008E-2</v>
      </c>
      <c r="Q24" s="2">
        <v>7.4321076901507563E-2</v>
      </c>
      <c r="R24" s="2">
        <v>1.689320388349514</v>
      </c>
      <c r="S24" s="2">
        <v>0.156203244564417</v>
      </c>
      <c r="T24" s="2">
        <v>9.2465139023764076E-2</v>
      </c>
      <c r="U24" s="2">
        <v>0.25470257648971262</v>
      </c>
      <c r="V24" t="s">
        <v>44</v>
      </c>
      <c r="W24" t="s">
        <v>37</v>
      </c>
      <c r="X24" t="s">
        <v>37</v>
      </c>
      <c r="Y24" t="s">
        <v>77</v>
      </c>
      <c r="Z24" t="s">
        <v>78</v>
      </c>
      <c r="AA24" s="3">
        <v>1</v>
      </c>
      <c r="AB24" s="3">
        <v>1</v>
      </c>
      <c r="AC24" s="2">
        <v>0.420146670544426</v>
      </c>
      <c r="AD24" s="2">
        <v>0.82200113015155463</v>
      </c>
      <c r="AE24" s="2">
        <v>2.2869811422044108</v>
      </c>
      <c r="AF24" s="2">
        <v>2.462172235082134</v>
      </c>
    </row>
    <row r="25" spans="1:32" x14ac:dyDescent="0.3">
      <c r="A25" s="13" t="s">
        <v>83</v>
      </c>
      <c r="B25">
        <v>213</v>
      </c>
      <c r="C25">
        <v>106</v>
      </c>
      <c r="D25">
        <v>191</v>
      </c>
      <c r="E25">
        <v>221</v>
      </c>
      <c r="F25">
        <v>230</v>
      </c>
      <c r="G25">
        <v>224</v>
      </c>
      <c r="H25">
        <v>236</v>
      </c>
      <c r="I25">
        <v>296</v>
      </c>
      <c r="J25">
        <v>227</v>
      </c>
      <c r="K25">
        <v>3</v>
      </c>
      <c r="L25" s="2">
        <v>0.70264317180616742</v>
      </c>
      <c r="M25" s="2">
        <v>0.23586568585387149</v>
      </c>
      <c r="N25" s="2">
        <v>0.33568345259453808</v>
      </c>
      <c r="O25" s="2">
        <v>0.90748898678414092</v>
      </c>
      <c r="P25" s="2">
        <v>6.7158850572328913E-2</v>
      </c>
      <c r="Q25" s="2">
        <v>7.4005141164653704E-2</v>
      </c>
      <c r="R25" s="2">
        <v>1.1718061674008811</v>
      </c>
      <c r="S25" s="2">
        <v>0.1330628511466963</v>
      </c>
      <c r="T25" s="2">
        <v>0.1135536361289476</v>
      </c>
      <c r="U25" s="2">
        <v>0.52324222988813951</v>
      </c>
      <c r="V25" t="s">
        <v>53</v>
      </c>
      <c r="W25" t="s">
        <v>51</v>
      </c>
      <c r="X25" t="s">
        <v>33</v>
      </c>
      <c r="Y25" t="s">
        <v>84</v>
      </c>
      <c r="Z25" t="s">
        <v>85</v>
      </c>
      <c r="AA25" s="3">
        <v>4</v>
      </c>
      <c r="AB25" s="3">
        <v>6</v>
      </c>
      <c r="AC25" s="2">
        <v>0.93800909354745088</v>
      </c>
      <c r="AD25" s="2">
        <v>0.9391904983666518</v>
      </c>
      <c r="AE25" s="2">
        <v>2.4725240153820538</v>
      </c>
      <c r="AF25" s="2">
        <v>2.331901755949676</v>
      </c>
    </row>
    <row r="26" spans="1:32" x14ac:dyDescent="0.3">
      <c r="A26" s="13" t="s">
        <v>86</v>
      </c>
      <c r="B26">
        <v>894</v>
      </c>
      <c r="C26">
        <v>567</v>
      </c>
      <c r="D26">
        <v>975</v>
      </c>
      <c r="E26">
        <v>869</v>
      </c>
      <c r="F26">
        <v>907</v>
      </c>
      <c r="G26">
        <v>991</v>
      </c>
      <c r="H26">
        <v>1384</v>
      </c>
      <c r="I26">
        <v>1376</v>
      </c>
      <c r="J26">
        <v>949</v>
      </c>
      <c r="K26">
        <v>42</v>
      </c>
      <c r="L26" s="2">
        <v>0.76975763962065336</v>
      </c>
      <c r="M26" s="2">
        <v>0.17562248185673229</v>
      </c>
      <c r="N26" s="2">
        <v>0.22815295726494039</v>
      </c>
      <c r="O26" s="2">
        <v>0.97154899894625923</v>
      </c>
      <c r="P26" s="2">
        <v>7.0482993027755278E-2</v>
      </c>
      <c r="Q26" s="2">
        <v>7.2547028615335962E-2</v>
      </c>
      <c r="R26" s="2">
        <v>1.4541622760800841</v>
      </c>
      <c r="S26" s="2">
        <v>6.4494902339113369E-2</v>
      </c>
      <c r="T26" s="2">
        <v>4.4351929217259847E-2</v>
      </c>
      <c r="U26" s="2">
        <v>0.34505191509753619</v>
      </c>
      <c r="V26" t="s">
        <v>31</v>
      </c>
      <c r="W26" t="s">
        <v>87</v>
      </c>
      <c r="X26" t="s">
        <v>61</v>
      </c>
      <c r="Y26" t="s">
        <v>48</v>
      </c>
      <c r="Z26" t="s">
        <v>49</v>
      </c>
      <c r="AA26" s="3">
        <v>2</v>
      </c>
      <c r="AB26" s="3">
        <v>4</v>
      </c>
      <c r="AC26" s="2">
        <v>0.91139015639976129</v>
      </c>
      <c r="AD26" s="2">
        <v>0.9436942350479407</v>
      </c>
      <c r="AE26" s="2">
        <v>1.7646574431901889</v>
      </c>
      <c r="AF26" s="2">
        <v>1.815560000524681</v>
      </c>
    </row>
    <row r="27" spans="1:32" x14ac:dyDescent="0.3">
      <c r="A27" s="13" t="s">
        <v>88</v>
      </c>
      <c r="B27">
        <v>296</v>
      </c>
      <c r="C27">
        <v>222</v>
      </c>
      <c r="D27">
        <v>357</v>
      </c>
      <c r="E27">
        <v>315</v>
      </c>
      <c r="F27">
        <v>343</v>
      </c>
      <c r="G27">
        <v>363</v>
      </c>
      <c r="H27">
        <v>444</v>
      </c>
      <c r="I27">
        <v>502</v>
      </c>
      <c r="J27">
        <v>353</v>
      </c>
      <c r="K27">
        <v>10</v>
      </c>
      <c r="L27" s="2">
        <v>0.73371104815864019</v>
      </c>
      <c r="M27" s="2">
        <v>0.1068568304851889</v>
      </c>
      <c r="N27" s="2">
        <v>0.1456388461825161</v>
      </c>
      <c r="O27" s="2">
        <v>0.95184135977337114</v>
      </c>
      <c r="P27" s="2">
        <v>6.5315741473949765E-2</v>
      </c>
      <c r="Q27" s="2">
        <v>6.8620406965191269E-2</v>
      </c>
      <c r="R27" s="2">
        <v>1.339943342776204</v>
      </c>
      <c r="S27" s="2">
        <v>9.0498490467179407E-2</v>
      </c>
      <c r="T27" s="2">
        <v>6.7539042568529245E-2</v>
      </c>
      <c r="U27" s="2">
        <v>0.2817982957162366</v>
      </c>
      <c r="V27" t="s">
        <v>44</v>
      </c>
      <c r="W27" t="s">
        <v>51</v>
      </c>
      <c r="X27" t="s">
        <v>33</v>
      </c>
      <c r="Y27" t="s">
        <v>48</v>
      </c>
      <c r="Z27" t="s">
        <v>49</v>
      </c>
      <c r="AA27" s="3">
        <v>4</v>
      </c>
      <c r="AB27" s="3">
        <v>4</v>
      </c>
      <c r="AC27" s="2">
        <v>0.46087589588518141</v>
      </c>
      <c r="AD27" s="2">
        <v>0.53321089357428642</v>
      </c>
      <c r="AE27" s="2">
        <v>1.7925581821475329</v>
      </c>
      <c r="AF27" s="2">
        <v>1.512642759713301</v>
      </c>
    </row>
    <row r="28" spans="1:32" x14ac:dyDescent="0.3">
      <c r="A28" s="13" t="s">
        <v>89</v>
      </c>
      <c r="B28">
        <v>162</v>
      </c>
      <c r="C28">
        <v>92</v>
      </c>
      <c r="D28">
        <v>174</v>
      </c>
      <c r="E28">
        <v>175</v>
      </c>
      <c r="F28">
        <v>191</v>
      </c>
      <c r="G28">
        <v>178</v>
      </c>
      <c r="H28">
        <v>332</v>
      </c>
      <c r="I28">
        <v>286</v>
      </c>
      <c r="J28">
        <v>184.5</v>
      </c>
      <c r="K28">
        <v>6.5</v>
      </c>
      <c r="L28" s="2">
        <v>0.68834688346883466</v>
      </c>
      <c r="M28" s="2">
        <v>0.19124567011792709</v>
      </c>
      <c r="N28" s="2">
        <v>0.27783327666738222</v>
      </c>
      <c r="O28" s="2">
        <v>0.94579945799457998</v>
      </c>
      <c r="P28" s="2">
        <v>3.3430871449841318E-2</v>
      </c>
      <c r="Q28" s="2">
        <v>3.5346680701981222E-2</v>
      </c>
      <c r="R28" s="2">
        <v>1.6747967479674799</v>
      </c>
      <c r="S28" s="2">
        <v>0.13791976144737161</v>
      </c>
      <c r="T28" s="2">
        <v>8.2350148825372338E-2</v>
      </c>
      <c r="U28" s="2">
        <v>0.39553010619473578</v>
      </c>
      <c r="V28" t="s">
        <v>31</v>
      </c>
      <c r="W28" t="s">
        <v>42</v>
      </c>
      <c r="X28" t="s">
        <v>61</v>
      </c>
      <c r="Y28" t="s">
        <v>48</v>
      </c>
      <c r="Z28" t="s">
        <v>49</v>
      </c>
      <c r="AA28" s="3">
        <v>2</v>
      </c>
      <c r="AB28" s="3">
        <v>2</v>
      </c>
      <c r="AC28" s="2">
        <v>0.96818974534452151</v>
      </c>
      <c r="AD28" s="2">
        <v>0.97001253136528354</v>
      </c>
      <c r="AE28" s="2">
        <v>1.8507276533012029</v>
      </c>
      <c r="AF28" s="2">
        <v>2.187870266436414</v>
      </c>
    </row>
    <row r="29" spans="1:32" x14ac:dyDescent="0.3">
      <c r="A29" s="13" t="s">
        <v>90</v>
      </c>
      <c r="B29">
        <v>478</v>
      </c>
      <c r="C29">
        <v>329</v>
      </c>
      <c r="D29">
        <v>413</v>
      </c>
      <c r="E29">
        <v>408</v>
      </c>
      <c r="F29">
        <v>459</v>
      </c>
      <c r="G29">
        <v>483</v>
      </c>
      <c r="H29">
        <v>501</v>
      </c>
      <c r="I29">
        <v>622</v>
      </c>
      <c r="J29">
        <v>471</v>
      </c>
      <c r="K29">
        <v>12</v>
      </c>
      <c r="L29" s="2">
        <v>0.85668789808917201</v>
      </c>
      <c r="M29" s="2">
        <v>0.1596729119090767</v>
      </c>
      <c r="N29" s="2">
        <v>0.186383993826952</v>
      </c>
      <c r="O29" s="2">
        <v>0.8715498938428875</v>
      </c>
      <c r="P29" s="2">
        <v>2.2830669706321059E-2</v>
      </c>
      <c r="Q29" s="2">
        <v>2.619548217217349E-2</v>
      </c>
      <c r="R29" s="2">
        <v>1.1921443736730359</v>
      </c>
      <c r="S29" s="2">
        <v>0.13199225463209791</v>
      </c>
      <c r="T29" s="2">
        <v>0.11071834716245441</v>
      </c>
      <c r="U29" s="2">
        <v>0.32329782316157979</v>
      </c>
      <c r="V29" t="s">
        <v>31</v>
      </c>
      <c r="W29" t="s">
        <v>32</v>
      </c>
      <c r="X29" t="s">
        <v>33</v>
      </c>
      <c r="Y29" t="s">
        <v>84</v>
      </c>
      <c r="Z29" t="s">
        <v>85</v>
      </c>
      <c r="AA29" s="3">
        <v>4</v>
      </c>
      <c r="AB29" s="3">
        <v>6</v>
      </c>
      <c r="AC29" s="2">
        <v>1</v>
      </c>
      <c r="AD29" s="2">
        <v>0.91710513117770964</v>
      </c>
      <c r="AE29" s="2">
        <v>0.98356558254976911</v>
      </c>
      <c r="AF29" s="2">
        <v>0.85708332468930193</v>
      </c>
    </row>
    <row r="30" spans="1:32" x14ac:dyDescent="0.3">
      <c r="A30" s="13" t="s">
        <v>91</v>
      </c>
      <c r="B30">
        <v>70</v>
      </c>
      <c r="C30">
        <v>68</v>
      </c>
      <c r="D30">
        <v>71</v>
      </c>
      <c r="E30">
        <v>78</v>
      </c>
      <c r="F30">
        <v>70</v>
      </c>
      <c r="G30">
        <v>92</v>
      </c>
      <c r="H30">
        <v>108</v>
      </c>
      <c r="I30">
        <v>117</v>
      </c>
      <c r="J30">
        <v>81</v>
      </c>
      <c r="K30">
        <v>11</v>
      </c>
      <c r="L30" s="2">
        <v>0.85185185185185186</v>
      </c>
      <c r="M30" s="2">
        <v>0.11634048129065069</v>
      </c>
      <c r="N30" s="2">
        <v>0.13657360847163341</v>
      </c>
      <c r="O30" s="2">
        <v>0.91975308641975306</v>
      </c>
      <c r="P30" s="2">
        <v>0.13216764936281289</v>
      </c>
      <c r="Q30" s="2">
        <v>0.1436990550119174</v>
      </c>
      <c r="R30" s="2">
        <v>1.3888888888888891</v>
      </c>
      <c r="S30" s="2">
        <v>0.19662620534515421</v>
      </c>
      <c r="T30" s="2">
        <v>0.14157086784851111</v>
      </c>
      <c r="U30" s="2">
        <v>0.42184353133206193</v>
      </c>
      <c r="V30" t="s">
        <v>31</v>
      </c>
      <c r="W30" t="s">
        <v>37</v>
      </c>
      <c r="X30" t="s">
        <v>38</v>
      </c>
      <c r="Y30" t="s">
        <v>39</v>
      </c>
      <c r="Z30" t="s">
        <v>40</v>
      </c>
      <c r="AA30" s="3">
        <v>4</v>
      </c>
      <c r="AB30" s="3">
        <v>4</v>
      </c>
      <c r="AC30" s="2">
        <v>1</v>
      </c>
      <c r="AD30" s="2">
        <v>0.94013455626463904</v>
      </c>
      <c r="AE30" s="2">
        <v>1.7021490685270879</v>
      </c>
      <c r="AF30" s="2">
        <v>1.367841405222407</v>
      </c>
    </row>
    <row r="31" spans="1:32" x14ac:dyDescent="0.3">
      <c r="A31" s="13" t="s">
        <v>92</v>
      </c>
      <c r="B31">
        <v>964</v>
      </c>
      <c r="C31">
        <v>681</v>
      </c>
      <c r="D31">
        <v>1052</v>
      </c>
      <c r="E31">
        <v>848</v>
      </c>
      <c r="F31">
        <v>914</v>
      </c>
      <c r="G31">
        <v>998</v>
      </c>
      <c r="H31">
        <v>1626</v>
      </c>
      <c r="I31">
        <v>1397</v>
      </c>
      <c r="J31">
        <v>956</v>
      </c>
      <c r="K31">
        <v>42</v>
      </c>
      <c r="L31" s="2">
        <v>0.8603556485355649</v>
      </c>
      <c r="M31" s="2">
        <v>0.15276258814344501</v>
      </c>
      <c r="N31" s="2">
        <v>0.17755748846824729</v>
      </c>
      <c r="O31" s="2">
        <v>0.99372384937238489</v>
      </c>
      <c r="P31" s="2">
        <v>0.11528092300490581</v>
      </c>
      <c r="Q31" s="2">
        <v>0.1160090130449368</v>
      </c>
      <c r="R31" s="2">
        <v>1.581066945606695</v>
      </c>
      <c r="S31" s="2">
        <v>0.13845456750221211</v>
      </c>
      <c r="T31" s="2">
        <v>8.7570338426804326E-2</v>
      </c>
      <c r="U31" s="2">
        <v>0.38113683993998848</v>
      </c>
      <c r="V31" t="s">
        <v>31</v>
      </c>
      <c r="W31" t="s">
        <v>37</v>
      </c>
      <c r="X31" t="s">
        <v>61</v>
      </c>
      <c r="Y31" t="s">
        <v>62</v>
      </c>
      <c r="Z31" t="s">
        <v>63</v>
      </c>
      <c r="AA31" s="3">
        <v>1</v>
      </c>
      <c r="AB31" s="3">
        <v>2</v>
      </c>
      <c r="AC31" s="2">
        <v>0.9753687405866639</v>
      </c>
      <c r="AD31" s="2">
        <v>1</v>
      </c>
      <c r="AE31" s="2">
        <v>1.184670914067546</v>
      </c>
      <c r="AF31" s="2">
        <v>1.658501190676801</v>
      </c>
    </row>
    <row r="32" spans="1:32" x14ac:dyDescent="0.3">
      <c r="A32" s="13" t="s">
        <v>93</v>
      </c>
      <c r="B32">
        <v>1048</v>
      </c>
      <c r="C32">
        <v>594</v>
      </c>
      <c r="D32">
        <v>1050</v>
      </c>
      <c r="E32">
        <v>992</v>
      </c>
      <c r="F32">
        <v>904</v>
      </c>
      <c r="G32">
        <v>1137</v>
      </c>
      <c r="H32">
        <v>1362</v>
      </c>
      <c r="I32">
        <v>1267</v>
      </c>
      <c r="J32">
        <v>1020.5</v>
      </c>
      <c r="K32">
        <v>116.5</v>
      </c>
      <c r="L32" s="2">
        <v>0.80450759431651153</v>
      </c>
      <c r="M32" s="2">
        <v>0.2406544516851726</v>
      </c>
      <c r="N32" s="2">
        <v>0.29913260407395692</v>
      </c>
      <c r="O32" s="2">
        <v>1.0004899559039691</v>
      </c>
      <c r="P32" s="2">
        <v>0.1176977814669504</v>
      </c>
      <c r="Q32" s="2">
        <v>0.11764014298435151</v>
      </c>
      <c r="R32" s="2">
        <v>1.288094071533562</v>
      </c>
      <c r="S32" s="2">
        <v>0.15423930692252599</v>
      </c>
      <c r="T32" s="2">
        <v>0.11974226908667759</v>
      </c>
      <c r="U32" s="2">
        <v>0.53651501614498609</v>
      </c>
      <c r="V32" t="s">
        <v>53</v>
      </c>
      <c r="W32" t="s">
        <v>51</v>
      </c>
      <c r="X32" t="s">
        <v>33</v>
      </c>
      <c r="Y32" t="s">
        <v>48</v>
      </c>
      <c r="Z32" t="s">
        <v>49</v>
      </c>
      <c r="AA32" s="3">
        <v>4</v>
      </c>
      <c r="AB32" s="3">
        <v>4</v>
      </c>
      <c r="AC32" s="2">
        <v>0.43484623511157622</v>
      </c>
      <c r="AD32" s="2">
        <v>0.57020320222199317</v>
      </c>
      <c r="AE32" s="2">
        <v>1.778654524314476</v>
      </c>
      <c r="AF32" s="2">
        <v>1.555039925050689</v>
      </c>
    </row>
    <row r="33" spans="1:32" x14ac:dyDescent="0.3">
      <c r="A33" s="13" t="s">
        <v>94</v>
      </c>
      <c r="B33">
        <v>119</v>
      </c>
      <c r="C33">
        <v>69</v>
      </c>
      <c r="D33">
        <v>98</v>
      </c>
      <c r="E33">
        <v>87</v>
      </c>
      <c r="F33">
        <v>99</v>
      </c>
      <c r="G33">
        <v>103</v>
      </c>
      <c r="H33">
        <v>123</v>
      </c>
      <c r="I33">
        <v>105</v>
      </c>
      <c r="J33">
        <v>101</v>
      </c>
      <c r="K33">
        <v>2</v>
      </c>
      <c r="L33" s="2">
        <v>0.93069306930693074</v>
      </c>
      <c r="M33" s="2">
        <v>0.24820989501002291</v>
      </c>
      <c r="N33" s="2">
        <v>0.2666936105958756</v>
      </c>
      <c r="O33" s="2">
        <v>0.91584158415841588</v>
      </c>
      <c r="P33" s="2">
        <v>5.7395915119067317E-2</v>
      </c>
      <c r="Q33" s="2">
        <v>6.2670134346224857E-2</v>
      </c>
      <c r="R33" s="2">
        <v>1.128712871287129</v>
      </c>
      <c r="S33" s="2">
        <v>9.1869222389612093E-2</v>
      </c>
      <c r="T33" s="2">
        <v>8.1392907555708965E-2</v>
      </c>
      <c r="U33" s="2">
        <v>0.41075665249780952</v>
      </c>
      <c r="V33" t="s">
        <v>31</v>
      </c>
      <c r="W33" t="s">
        <v>70</v>
      </c>
      <c r="X33" t="s">
        <v>33</v>
      </c>
      <c r="Y33" t="s">
        <v>77</v>
      </c>
      <c r="Z33" t="s">
        <v>78</v>
      </c>
      <c r="AA33" s="3">
        <v>4</v>
      </c>
      <c r="AB33" s="3">
        <v>6</v>
      </c>
      <c r="AC33" s="2">
        <v>1</v>
      </c>
      <c r="AD33" s="2">
        <v>0.94671092557390701</v>
      </c>
      <c r="AE33" s="2">
        <v>1.800796201672882</v>
      </c>
      <c r="AF33" s="2">
        <v>1.648186616172324</v>
      </c>
    </row>
    <row r="34" spans="1:32" x14ac:dyDescent="0.3">
      <c r="A34" s="13" t="s">
        <v>95</v>
      </c>
      <c r="B34">
        <v>3038</v>
      </c>
      <c r="C34">
        <v>2229</v>
      </c>
      <c r="D34">
        <v>2675</v>
      </c>
      <c r="E34">
        <v>2526</v>
      </c>
      <c r="F34">
        <v>2433</v>
      </c>
      <c r="G34">
        <v>2855</v>
      </c>
      <c r="H34">
        <v>3918</v>
      </c>
      <c r="I34">
        <v>3809</v>
      </c>
      <c r="J34">
        <v>2644</v>
      </c>
      <c r="K34">
        <v>211</v>
      </c>
      <c r="L34" s="2">
        <v>0.99602874432677757</v>
      </c>
      <c r="M34" s="2">
        <v>0.17240471531252349</v>
      </c>
      <c r="N34" s="2">
        <v>0.17309210832971789</v>
      </c>
      <c r="O34" s="2">
        <v>0.98354765506807862</v>
      </c>
      <c r="P34" s="2">
        <v>8.3394740680905313E-2</v>
      </c>
      <c r="Q34" s="2">
        <v>8.4789730575010061E-2</v>
      </c>
      <c r="R34" s="2">
        <v>1.461232980332829</v>
      </c>
      <c r="S34" s="2">
        <v>0.11841903808133181</v>
      </c>
      <c r="T34" s="2">
        <v>8.1040490924560935E-2</v>
      </c>
      <c r="U34" s="2">
        <v>0.33892232982928888</v>
      </c>
      <c r="V34" t="s">
        <v>31</v>
      </c>
      <c r="W34" t="s">
        <v>37</v>
      </c>
      <c r="X34" t="s">
        <v>55</v>
      </c>
      <c r="Y34" t="s">
        <v>48</v>
      </c>
      <c r="Z34" t="s">
        <v>49</v>
      </c>
      <c r="AA34" s="3">
        <v>3</v>
      </c>
      <c r="AB34" s="3">
        <v>3</v>
      </c>
      <c r="AC34" s="2">
        <v>0.43044305819914702</v>
      </c>
      <c r="AD34" s="2">
        <v>0.5182276578345324</v>
      </c>
      <c r="AE34" s="2">
        <v>0.87176678049387413</v>
      </c>
      <c r="AF34" s="2">
        <v>0.2699631845387056</v>
      </c>
    </row>
    <row r="35" spans="1:32" x14ac:dyDescent="0.3">
      <c r="A35" s="13" t="s">
        <v>96</v>
      </c>
      <c r="B35">
        <v>734</v>
      </c>
      <c r="C35">
        <v>397</v>
      </c>
      <c r="D35">
        <v>748</v>
      </c>
      <c r="E35">
        <v>626</v>
      </c>
      <c r="F35">
        <v>723</v>
      </c>
      <c r="G35">
        <v>793</v>
      </c>
      <c r="H35">
        <v>1158</v>
      </c>
      <c r="I35">
        <v>1229</v>
      </c>
      <c r="J35">
        <v>758</v>
      </c>
      <c r="K35">
        <v>35</v>
      </c>
      <c r="L35" s="2">
        <v>0.74604221635883905</v>
      </c>
      <c r="M35" s="2">
        <v>0.22494877373023031</v>
      </c>
      <c r="N35" s="2">
        <v>0.30152284790011419</v>
      </c>
      <c r="O35" s="2">
        <v>0.90633245382585748</v>
      </c>
      <c r="P35" s="2">
        <v>9.0705921393706576E-2</v>
      </c>
      <c r="Q35" s="2">
        <v>0.1000801869234783</v>
      </c>
      <c r="R35" s="2">
        <v>1.5745382585751979</v>
      </c>
      <c r="S35" s="2">
        <v>8.6481916064532108E-2</v>
      </c>
      <c r="T35" s="2">
        <v>5.4925255447771541E-2</v>
      </c>
      <c r="U35" s="2">
        <v>0.4565282902713641</v>
      </c>
      <c r="V35" t="s">
        <v>53</v>
      </c>
      <c r="W35" t="s">
        <v>87</v>
      </c>
      <c r="X35" t="s">
        <v>66</v>
      </c>
      <c r="Y35" t="s">
        <v>39</v>
      </c>
      <c r="Z35" t="s">
        <v>40</v>
      </c>
      <c r="AA35" s="3">
        <v>2</v>
      </c>
      <c r="AB35" s="3">
        <v>2</v>
      </c>
      <c r="AC35" s="2">
        <v>1</v>
      </c>
      <c r="AD35" s="2">
        <v>1</v>
      </c>
      <c r="AE35" s="2">
        <v>0.75187234514913492</v>
      </c>
      <c r="AF35" s="2">
        <v>0.80999922759259524</v>
      </c>
    </row>
    <row r="36" spans="1:32" x14ac:dyDescent="0.3">
      <c r="A36" s="13" t="s">
        <v>97</v>
      </c>
      <c r="B36">
        <v>500</v>
      </c>
      <c r="C36">
        <v>358</v>
      </c>
      <c r="D36">
        <v>519</v>
      </c>
      <c r="E36">
        <v>409</v>
      </c>
      <c r="F36">
        <v>493</v>
      </c>
      <c r="G36">
        <v>579</v>
      </c>
      <c r="H36">
        <v>895</v>
      </c>
      <c r="I36">
        <v>776</v>
      </c>
      <c r="J36">
        <v>536</v>
      </c>
      <c r="K36">
        <v>43</v>
      </c>
      <c r="L36" s="2">
        <v>0.80037313432835822</v>
      </c>
      <c r="M36" s="2">
        <v>0.14720449718420939</v>
      </c>
      <c r="N36" s="2">
        <v>0.18391983797374409</v>
      </c>
      <c r="O36" s="2">
        <v>0.86567164179104472</v>
      </c>
      <c r="P36" s="2">
        <v>0.1239038776045009</v>
      </c>
      <c r="Q36" s="2">
        <v>0.14313034137071651</v>
      </c>
      <c r="R36" s="2">
        <v>1.5587686567164181</v>
      </c>
      <c r="S36" s="2">
        <v>0.16721326791880889</v>
      </c>
      <c r="T36" s="2">
        <v>0.1072726649963873</v>
      </c>
      <c r="U36" s="2">
        <v>0.43432284434084789</v>
      </c>
      <c r="V36" t="s">
        <v>31</v>
      </c>
      <c r="W36" t="s">
        <v>87</v>
      </c>
      <c r="X36" t="s">
        <v>66</v>
      </c>
      <c r="Y36" t="s">
        <v>74</v>
      </c>
      <c r="Z36" t="s">
        <v>75</v>
      </c>
      <c r="AA36" s="3">
        <v>2</v>
      </c>
      <c r="AB36" s="3">
        <v>2</v>
      </c>
      <c r="AC36" s="2">
        <v>0.41202528454044268</v>
      </c>
      <c r="AD36" s="2">
        <v>0.40346984807277592</v>
      </c>
      <c r="AE36" s="2">
        <v>1.2515185373484561</v>
      </c>
      <c r="AF36" s="2">
        <v>1.392858403223451</v>
      </c>
    </row>
    <row r="37" spans="1:32" x14ac:dyDescent="0.3">
      <c r="A37" s="13" t="s">
        <v>98</v>
      </c>
      <c r="B37">
        <v>996</v>
      </c>
      <c r="C37">
        <v>707</v>
      </c>
      <c r="D37">
        <v>805</v>
      </c>
      <c r="E37">
        <v>778</v>
      </c>
      <c r="F37">
        <v>928</v>
      </c>
      <c r="G37">
        <v>854</v>
      </c>
      <c r="H37">
        <v>847</v>
      </c>
      <c r="I37">
        <v>1302</v>
      </c>
      <c r="J37">
        <v>891</v>
      </c>
      <c r="K37">
        <v>37</v>
      </c>
      <c r="L37" s="2">
        <v>0.95566778900112237</v>
      </c>
      <c r="M37" s="2">
        <v>0.16696232646937981</v>
      </c>
      <c r="N37" s="2">
        <v>0.17470749604723121</v>
      </c>
      <c r="O37" s="2">
        <v>0.888327721661055</v>
      </c>
      <c r="P37" s="2">
        <v>3.9879430078227009E-2</v>
      </c>
      <c r="Q37" s="2">
        <v>4.4892700189134889E-2</v>
      </c>
      <c r="R37" s="2">
        <v>1.2059483726150391</v>
      </c>
      <c r="S37" s="2">
        <v>0.26019576753836582</v>
      </c>
      <c r="T37" s="2">
        <v>0.21576028746085049</v>
      </c>
      <c r="U37" s="2">
        <v>0.43536048369721658</v>
      </c>
      <c r="V37" t="s">
        <v>31</v>
      </c>
      <c r="W37" t="s">
        <v>32</v>
      </c>
      <c r="X37" t="s">
        <v>33</v>
      </c>
      <c r="Y37" t="s">
        <v>48</v>
      </c>
      <c r="Z37" t="s">
        <v>49</v>
      </c>
      <c r="AA37" s="3">
        <v>4</v>
      </c>
      <c r="AB37" s="3">
        <v>5</v>
      </c>
      <c r="AC37" s="2">
        <v>0.43095229066518592</v>
      </c>
      <c r="AD37" s="2">
        <v>0.94814494680554207</v>
      </c>
      <c r="AE37" s="2">
        <v>1.9751365900220621</v>
      </c>
      <c r="AF37" s="2">
        <v>0.98190257960901739</v>
      </c>
    </row>
    <row r="38" spans="1:32" x14ac:dyDescent="0.3">
      <c r="A38" s="13" t="s">
        <v>99</v>
      </c>
      <c r="B38">
        <v>8024</v>
      </c>
      <c r="C38">
        <v>6011</v>
      </c>
      <c r="D38">
        <v>9044</v>
      </c>
      <c r="E38">
        <v>7359</v>
      </c>
      <c r="F38">
        <v>7991</v>
      </c>
      <c r="G38">
        <v>9369</v>
      </c>
      <c r="H38">
        <v>16431</v>
      </c>
      <c r="I38">
        <v>12290</v>
      </c>
      <c r="J38">
        <v>8680</v>
      </c>
      <c r="K38">
        <v>689</v>
      </c>
      <c r="L38" s="2">
        <v>0.80846774193548387</v>
      </c>
      <c r="M38" s="2">
        <v>0.13253001916540949</v>
      </c>
      <c r="N38" s="2">
        <v>0.16392740525197791</v>
      </c>
      <c r="O38" s="2">
        <v>0.94487327188940096</v>
      </c>
      <c r="P38" s="2">
        <v>0.12266368086649621</v>
      </c>
      <c r="Q38" s="2">
        <v>0.12982024628679961</v>
      </c>
      <c r="R38" s="2">
        <v>1.6544354838709681</v>
      </c>
      <c r="S38" s="2">
        <v>0.27229808115034809</v>
      </c>
      <c r="T38" s="2">
        <v>0.16458670271822159</v>
      </c>
      <c r="U38" s="2">
        <v>0.45833435425699909</v>
      </c>
      <c r="V38" t="s">
        <v>53</v>
      </c>
      <c r="W38" t="s">
        <v>87</v>
      </c>
      <c r="X38" t="s">
        <v>61</v>
      </c>
      <c r="Y38" t="s">
        <v>34</v>
      </c>
      <c r="Z38" t="s">
        <v>35</v>
      </c>
      <c r="AA38" s="3">
        <v>2</v>
      </c>
      <c r="AB38" s="3">
        <v>2</v>
      </c>
      <c r="AC38" s="2">
        <v>0.52847108868457304</v>
      </c>
      <c r="AD38" s="2">
        <v>0.39218402327515828</v>
      </c>
      <c r="AE38" s="2">
        <v>1.2846859859931949</v>
      </c>
      <c r="AF38" s="2">
        <v>1.559619527336318</v>
      </c>
    </row>
    <row r="39" spans="1:32" x14ac:dyDescent="0.3">
      <c r="A39" s="13" t="s">
        <v>100</v>
      </c>
      <c r="B39">
        <v>277</v>
      </c>
      <c r="C39">
        <v>176</v>
      </c>
      <c r="D39">
        <v>204</v>
      </c>
      <c r="E39">
        <v>213</v>
      </c>
      <c r="F39">
        <v>215</v>
      </c>
      <c r="G39">
        <v>220</v>
      </c>
      <c r="H39">
        <v>241</v>
      </c>
      <c r="I39">
        <v>370</v>
      </c>
      <c r="J39">
        <v>217.5</v>
      </c>
      <c r="K39">
        <v>2.5</v>
      </c>
      <c r="L39" s="2">
        <v>1.0413793103448279</v>
      </c>
      <c r="M39" s="2">
        <v>0.23249224742777899</v>
      </c>
      <c r="N39" s="2">
        <v>0.2232541448809798</v>
      </c>
      <c r="O39" s="2">
        <v>0.95862068965517244</v>
      </c>
      <c r="P39" s="2">
        <v>2.3440819263556571E-2</v>
      </c>
      <c r="Q39" s="2">
        <v>2.445265318860217E-2</v>
      </c>
      <c r="R39" s="2">
        <v>1.4045977011494251</v>
      </c>
      <c r="S39" s="2">
        <v>0.29699087476513591</v>
      </c>
      <c r="T39" s="2">
        <v>0.2114419484825435</v>
      </c>
      <c r="U39" s="2">
        <v>0.45914874655212551</v>
      </c>
      <c r="V39" t="s">
        <v>53</v>
      </c>
      <c r="W39" t="s">
        <v>37</v>
      </c>
      <c r="X39" t="s">
        <v>33</v>
      </c>
      <c r="Y39" t="s">
        <v>34</v>
      </c>
      <c r="Z39" t="s">
        <v>35</v>
      </c>
      <c r="AA39" s="3">
        <v>3</v>
      </c>
      <c r="AB39" s="3">
        <v>3</v>
      </c>
      <c r="AC39" s="2">
        <v>0.41359745242806578</v>
      </c>
      <c r="AD39" s="2">
        <v>0.51546737141115817</v>
      </c>
      <c r="AE39" s="2">
        <v>1.0719936300357249</v>
      </c>
      <c r="AF39" s="2">
        <v>1.2453808297996929</v>
      </c>
    </row>
    <row r="40" spans="1:32" x14ac:dyDescent="0.3">
      <c r="A40" s="13" t="s">
        <v>101</v>
      </c>
      <c r="B40">
        <v>187</v>
      </c>
      <c r="C40">
        <v>132</v>
      </c>
      <c r="D40">
        <v>146</v>
      </c>
      <c r="E40">
        <v>134</v>
      </c>
      <c r="F40">
        <v>188</v>
      </c>
      <c r="G40">
        <v>160</v>
      </c>
      <c r="H40">
        <v>177</v>
      </c>
      <c r="I40">
        <v>272</v>
      </c>
      <c r="J40">
        <v>174</v>
      </c>
      <c r="K40">
        <v>14</v>
      </c>
      <c r="L40" s="2">
        <v>0.91666666666666663</v>
      </c>
      <c r="M40" s="2">
        <v>0.17440842809359711</v>
      </c>
      <c r="N40" s="2">
        <v>0.1902637397384695</v>
      </c>
      <c r="O40" s="2">
        <v>0.8045977011494253</v>
      </c>
      <c r="P40" s="2">
        <v>7.3348731469951342E-2</v>
      </c>
      <c r="Q40" s="2">
        <v>9.1161994826939527E-2</v>
      </c>
      <c r="R40" s="2">
        <v>1.2902298850574709</v>
      </c>
      <c r="S40" s="2">
        <v>0.29206090555505132</v>
      </c>
      <c r="T40" s="2">
        <v>0.22636346354823569</v>
      </c>
      <c r="U40" s="2">
        <v>0.50778919811364476</v>
      </c>
      <c r="V40" t="s">
        <v>53</v>
      </c>
      <c r="W40" t="s">
        <v>102</v>
      </c>
      <c r="X40" t="s">
        <v>38</v>
      </c>
      <c r="Y40" t="s">
        <v>77</v>
      </c>
      <c r="Z40" t="s">
        <v>78</v>
      </c>
      <c r="AA40" s="3">
        <v>4</v>
      </c>
      <c r="AB40" s="3">
        <v>5</v>
      </c>
      <c r="AC40" s="2">
        <v>0.45110049019646059</v>
      </c>
      <c r="AD40" s="2">
        <v>0.8923970627321316</v>
      </c>
      <c r="AE40" s="2">
        <v>2.9172528723332678</v>
      </c>
      <c r="AF40" s="2">
        <v>2.1004998826759391</v>
      </c>
    </row>
    <row r="41" spans="1:32" x14ac:dyDescent="0.3">
      <c r="A41" s="13" t="s">
        <v>103</v>
      </c>
      <c r="B41">
        <v>15485</v>
      </c>
      <c r="C41">
        <v>9078</v>
      </c>
      <c r="D41">
        <v>15777</v>
      </c>
      <c r="E41">
        <v>15260</v>
      </c>
      <c r="F41">
        <v>14740</v>
      </c>
      <c r="G41">
        <v>16288</v>
      </c>
      <c r="H41">
        <v>21250</v>
      </c>
      <c r="I41">
        <v>17504</v>
      </c>
      <c r="J41">
        <v>15514</v>
      </c>
      <c r="K41">
        <v>774</v>
      </c>
      <c r="L41" s="2">
        <v>0.79163980920458943</v>
      </c>
      <c r="M41" s="2">
        <v>0.21023408569512769</v>
      </c>
      <c r="N41" s="2">
        <v>0.26556785453521242</v>
      </c>
      <c r="O41" s="2">
        <v>1.0002900605904339</v>
      </c>
      <c r="P41" s="2">
        <v>5.2613048588836031E-2</v>
      </c>
      <c r="Q41" s="2">
        <v>5.2597792042220717E-2</v>
      </c>
      <c r="R41" s="2">
        <v>1.249000902410726</v>
      </c>
      <c r="S41" s="2">
        <v>0.13586237245857199</v>
      </c>
      <c r="T41" s="2">
        <v>0.1087768409104756</v>
      </c>
      <c r="U41" s="2">
        <v>0.4269424874879087</v>
      </c>
      <c r="V41" t="s">
        <v>31</v>
      </c>
      <c r="W41" t="s">
        <v>51</v>
      </c>
      <c r="X41" t="s">
        <v>33</v>
      </c>
      <c r="Y41" t="s">
        <v>34</v>
      </c>
      <c r="Z41" t="s">
        <v>35</v>
      </c>
      <c r="AA41" s="3">
        <v>4</v>
      </c>
      <c r="AB41" s="3">
        <v>4</v>
      </c>
      <c r="AC41" s="2">
        <v>0.43484623511157622</v>
      </c>
      <c r="AD41" s="2">
        <v>0.58973948260932696</v>
      </c>
      <c r="AE41" s="2">
        <v>1.940665775870722</v>
      </c>
      <c r="AF41" s="2">
        <v>2.1615379518926598</v>
      </c>
    </row>
    <row r="42" spans="1:32" x14ac:dyDescent="0.3">
      <c r="A42" s="13" t="s">
        <v>104</v>
      </c>
      <c r="B42">
        <v>177</v>
      </c>
      <c r="C42">
        <v>107</v>
      </c>
      <c r="D42">
        <v>183</v>
      </c>
      <c r="E42">
        <v>174</v>
      </c>
      <c r="F42">
        <v>177</v>
      </c>
      <c r="G42">
        <v>179</v>
      </c>
      <c r="H42">
        <v>221</v>
      </c>
      <c r="I42">
        <v>336</v>
      </c>
      <c r="J42">
        <v>178</v>
      </c>
      <c r="K42">
        <v>1</v>
      </c>
      <c r="L42" s="2">
        <v>0.797752808988764</v>
      </c>
      <c r="M42" s="2">
        <v>0.19668028305852009</v>
      </c>
      <c r="N42" s="2">
        <v>0.24654289003110269</v>
      </c>
      <c r="O42" s="2">
        <v>1.002808988764045</v>
      </c>
      <c r="P42" s="2">
        <v>2.5901024715272569E-2</v>
      </c>
      <c r="Q42" s="2">
        <v>2.5828472825313819E-2</v>
      </c>
      <c r="R42" s="2">
        <v>1.564606741573034</v>
      </c>
      <c r="S42" s="2">
        <v>0.32315327509970981</v>
      </c>
      <c r="T42" s="2">
        <v>0.20653961568311791</v>
      </c>
      <c r="U42" s="2">
        <v>0.4789109785395344</v>
      </c>
      <c r="V42" t="s">
        <v>53</v>
      </c>
      <c r="W42" t="s">
        <v>87</v>
      </c>
      <c r="X42" t="s">
        <v>33</v>
      </c>
      <c r="Y42" t="s">
        <v>105</v>
      </c>
      <c r="Z42" t="s">
        <v>106</v>
      </c>
      <c r="AA42" s="3">
        <v>2</v>
      </c>
      <c r="AB42" s="3">
        <v>2</v>
      </c>
      <c r="AC42" s="2">
        <v>0.42725387194332731</v>
      </c>
      <c r="AD42" s="2">
        <v>0.45449370431738839</v>
      </c>
      <c r="AE42" s="2">
        <v>1.591686484150461</v>
      </c>
      <c r="AF42" s="2">
        <v>1.5715938101581051</v>
      </c>
    </row>
    <row r="43" spans="1:32" x14ac:dyDescent="0.3">
      <c r="A43" s="13" t="s">
        <v>107</v>
      </c>
      <c r="B43">
        <v>196</v>
      </c>
      <c r="C43">
        <v>147</v>
      </c>
      <c r="D43">
        <v>217</v>
      </c>
      <c r="E43">
        <v>192</v>
      </c>
      <c r="F43">
        <v>214</v>
      </c>
      <c r="G43">
        <v>226</v>
      </c>
      <c r="H43">
        <v>250</v>
      </c>
      <c r="I43">
        <v>334</v>
      </c>
      <c r="J43">
        <v>220</v>
      </c>
      <c r="K43">
        <v>6</v>
      </c>
      <c r="L43" s="2">
        <v>0.77954545454545454</v>
      </c>
      <c r="M43" s="2">
        <v>0.11337487005699221</v>
      </c>
      <c r="N43" s="2">
        <v>0.14543715109351771</v>
      </c>
      <c r="O43" s="2">
        <v>0.92954545454545456</v>
      </c>
      <c r="P43" s="2">
        <v>6.2217289702303953E-2</v>
      </c>
      <c r="Q43" s="2">
        <v>6.6933025596610601E-2</v>
      </c>
      <c r="R43" s="2">
        <v>1.3272727272727269</v>
      </c>
      <c r="S43" s="2">
        <v>0.1943105795499723</v>
      </c>
      <c r="T43" s="2">
        <v>0.14639838185271881</v>
      </c>
      <c r="U43" s="2">
        <v>0.35876855854284712</v>
      </c>
      <c r="V43" t="s">
        <v>31</v>
      </c>
      <c r="W43" t="s">
        <v>51</v>
      </c>
      <c r="X43" t="s">
        <v>33</v>
      </c>
      <c r="Y43" t="s">
        <v>74</v>
      </c>
      <c r="Z43" t="s">
        <v>75</v>
      </c>
      <c r="AA43" s="3">
        <v>4</v>
      </c>
      <c r="AB43" s="3">
        <v>4</v>
      </c>
      <c r="AC43" s="2">
        <v>0.44283453487114732</v>
      </c>
      <c r="AD43" s="2">
        <v>0.47312828895968251</v>
      </c>
      <c r="AE43" s="2">
        <v>1.0871474408528741</v>
      </c>
      <c r="AF43" s="2">
        <v>0.84468470040585486</v>
      </c>
    </row>
    <row r="44" spans="1:32" x14ac:dyDescent="0.3">
      <c r="A44" s="13" t="s">
        <v>108</v>
      </c>
      <c r="B44">
        <v>3068</v>
      </c>
      <c r="C44">
        <v>2268</v>
      </c>
      <c r="D44">
        <v>3259</v>
      </c>
      <c r="E44">
        <v>2742</v>
      </c>
      <c r="F44">
        <v>2761</v>
      </c>
      <c r="G44">
        <v>3553</v>
      </c>
      <c r="H44">
        <v>6008</v>
      </c>
      <c r="I44">
        <v>4888</v>
      </c>
      <c r="J44">
        <v>3157</v>
      </c>
      <c r="K44">
        <v>396</v>
      </c>
      <c r="L44" s="2">
        <v>0.84510611339879638</v>
      </c>
      <c r="M44" s="2">
        <v>0.16519952982103239</v>
      </c>
      <c r="N44" s="2">
        <v>0.19547785443965501</v>
      </c>
      <c r="O44" s="2">
        <v>0.95042762115932844</v>
      </c>
      <c r="P44" s="2">
        <v>0.14462840105739361</v>
      </c>
      <c r="Q44" s="2">
        <v>0.15217192539183191</v>
      </c>
      <c r="R44" s="2">
        <v>1.7256889452011399</v>
      </c>
      <c r="S44" s="2">
        <v>0.27985898227410722</v>
      </c>
      <c r="T44" s="2">
        <v>0.16217232140957349</v>
      </c>
      <c r="U44" s="2">
        <v>0.50982210124106042</v>
      </c>
      <c r="V44" t="s">
        <v>53</v>
      </c>
      <c r="W44" t="s">
        <v>37</v>
      </c>
      <c r="X44" t="s">
        <v>66</v>
      </c>
      <c r="Y44" t="s">
        <v>62</v>
      </c>
      <c r="Z44" t="s">
        <v>63</v>
      </c>
      <c r="AA44" s="3">
        <v>1</v>
      </c>
      <c r="AB44" s="3">
        <v>1</v>
      </c>
      <c r="AC44" s="2">
        <v>0.43041215120744092</v>
      </c>
      <c r="AD44" s="2">
        <v>0.40280332024454502</v>
      </c>
      <c r="AE44" s="2">
        <v>1.447041421711208</v>
      </c>
      <c r="AF44" s="2">
        <v>1.2972435842194441</v>
      </c>
    </row>
    <row r="45" spans="1:32" x14ac:dyDescent="0.3">
      <c r="A45" s="13" t="s">
        <v>109</v>
      </c>
      <c r="B45">
        <v>594</v>
      </c>
      <c r="C45">
        <v>453</v>
      </c>
      <c r="D45">
        <v>494</v>
      </c>
      <c r="E45">
        <v>503</v>
      </c>
      <c r="F45">
        <v>516</v>
      </c>
      <c r="G45">
        <v>510</v>
      </c>
      <c r="H45">
        <v>645</v>
      </c>
      <c r="I45">
        <v>945</v>
      </c>
      <c r="J45">
        <v>513</v>
      </c>
      <c r="K45">
        <v>3</v>
      </c>
      <c r="L45" s="2">
        <v>1.0204678362573101</v>
      </c>
      <c r="M45" s="2">
        <v>0.13755640962516941</v>
      </c>
      <c r="N45" s="2">
        <v>0.1347973985438623</v>
      </c>
      <c r="O45" s="2">
        <v>0.97173489278752434</v>
      </c>
      <c r="P45" s="2">
        <v>1.045176443007664E-2</v>
      </c>
      <c r="Q45" s="2">
        <v>1.0755777638173151E-2</v>
      </c>
      <c r="R45" s="2">
        <v>1.5497076023391809</v>
      </c>
      <c r="S45" s="2">
        <v>0.29253807117920499</v>
      </c>
      <c r="T45" s="2">
        <v>0.18876984970431721</v>
      </c>
      <c r="U45" s="2">
        <v>0.33432302588635271</v>
      </c>
      <c r="V45" t="s">
        <v>31</v>
      </c>
      <c r="W45" t="s">
        <v>37</v>
      </c>
      <c r="X45" t="s">
        <v>55</v>
      </c>
      <c r="Y45" t="s">
        <v>74</v>
      </c>
      <c r="Z45" t="s">
        <v>75</v>
      </c>
      <c r="AA45" s="3">
        <v>1</v>
      </c>
      <c r="AB45" s="3">
        <v>3</v>
      </c>
      <c r="AC45" s="2">
        <v>0.44947526993932152</v>
      </c>
      <c r="AD45" s="2">
        <v>0.47062707692701861</v>
      </c>
      <c r="AE45" s="2">
        <v>1.85444958218892</v>
      </c>
      <c r="AF45" s="2">
        <v>1.8080814699063059</v>
      </c>
    </row>
    <row r="46" spans="1:32" x14ac:dyDescent="0.3">
      <c r="A46" s="13" t="s">
        <v>110</v>
      </c>
      <c r="B46">
        <v>427</v>
      </c>
      <c r="C46">
        <v>327</v>
      </c>
      <c r="D46">
        <v>402</v>
      </c>
      <c r="E46">
        <v>345</v>
      </c>
      <c r="F46">
        <v>358</v>
      </c>
      <c r="G46">
        <v>414</v>
      </c>
      <c r="H46">
        <v>645</v>
      </c>
      <c r="I46">
        <v>632</v>
      </c>
      <c r="J46">
        <v>386</v>
      </c>
      <c r="K46">
        <v>28</v>
      </c>
      <c r="L46" s="2">
        <v>0.97668393782383423</v>
      </c>
      <c r="M46" s="2">
        <v>0.14764263540664641</v>
      </c>
      <c r="N46" s="2">
        <v>0.1511672606550809</v>
      </c>
      <c r="O46" s="2">
        <v>0.96761658031088082</v>
      </c>
      <c r="P46" s="2">
        <v>0.1018729462687169</v>
      </c>
      <c r="Q46" s="2">
        <v>0.10528234875428311</v>
      </c>
      <c r="R46" s="2">
        <v>1.6541450777202069</v>
      </c>
      <c r="S46" s="2">
        <v>0.1211656567499666</v>
      </c>
      <c r="T46" s="2">
        <v>7.3249715748609417E-2</v>
      </c>
      <c r="U46" s="2">
        <v>0.3296993251579734</v>
      </c>
      <c r="V46" t="s">
        <v>31</v>
      </c>
      <c r="W46" t="s">
        <v>37</v>
      </c>
      <c r="X46" t="s">
        <v>37</v>
      </c>
      <c r="Y46" t="s">
        <v>62</v>
      </c>
      <c r="Z46" t="s">
        <v>63</v>
      </c>
      <c r="AA46" s="3">
        <v>1</v>
      </c>
      <c r="AB46" s="3">
        <v>1</v>
      </c>
      <c r="AC46" s="2">
        <v>0.4151225420714893</v>
      </c>
      <c r="AD46" s="2">
        <v>0.46948174838348872</v>
      </c>
      <c r="AE46" s="2">
        <v>1.264051554689037</v>
      </c>
      <c r="AF46" s="2">
        <v>1.3103928341662709</v>
      </c>
    </row>
    <row r="47" spans="1:32" x14ac:dyDescent="0.3">
      <c r="A47" s="13" t="s">
        <v>111</v>
      </c>
      <c r="B47">
        <v>67</v>
      </c>
      <c r="C47">
        <v>47</v>
      </c>
      <c r="D47">
        <v>63</v>
      </c>
      <c r="E47">
        <v>79</v>
      </c>
      <c r="F47">
        <v>69</v>
      </c>
      <c r="G47">
        <v>86</v>
      </c>
      <c r="H47">
        <v>100</v>
      </c>
      <c r="I47">
        <v>110</v>
      </c>
      <c r="J47">
        <v>77.5</v>
      </c>
      <c r="K47">
        <v>8.5</v>
      </c>
      <c r="L47" s="2">
        <v>0.73548387096774193</v>
      </c>
      <c r="M47" s="2">
        <v>0.1521720171791352</v>
      </c>
      <c r="N47" s="2">
        <v>0.2069005496733855</v>
      </c>
      <c r="O47" s="2">
        <v>0.91612903225806452</v>
      </c>
      <c r="P47" s="2">
        <v>0.14405391300313211</v>
      </c>
      <c r="Q47" s="2">
        <v>0.15724194729215121</v>
      </c>
      <c r="R47" s="2">
        <v>1.354838709677419</v>
      </c>
      <c r="S47" s="2">
        <v>0.16199650714371119</v>
      </c>
      <c r="T47" s="2">
        <v>0.11956885051083441</v>
      </c>
      <c r="U47" s="2">
        <v>0.48371134747637112</v>
      </c>
      <c r="V47" t="s">
        <v>53</v>
      </c>
      <c r="W47" t="s">
        <v>51</v>
      </c>
      <c r="X47" t="s">
        <v>38</v>
      </c>
      <c r="Y47" t="s">
        <v>77</v>
      </c>
      <c r="Z47" t="s">
        <v>78</v>
      </c>
      <c r="AA47" s="3">
        <v>4</v>
      </c>
      <c r="AB47" s="3">
        <v>4</v>
      </c>
      <c r="AC47" s="2">
        <v>0.4172820889609879</v>
      </c>
      <c r="AD47" s="2">
        <v>0.37837549269959342</v>
      </c>
      <c r="AE47" s="2">
        <v>1.7332492134782549</v>
      </c>
      <c r="AF47" s="2">
        <v>1.441970864859293</v>
      </c>
    </row>
    <row r="48" spans="1:32" x14ac:dyDescent="0.3">
      <c r="A48" s="13" t="s">
        <v>112</v>
      </c>
      <c r="B48">
        <v>1239</v>
      </c>
      <c r="C48">
        <v>802</v>
      </c>
      <c r="D48">
        <v>1231</v>
      </c>
      <c r="E48">
        <v>1112</v>
      </c>
      <c r="F48">
        <v>1083</v>
      </c>
      <c r="G48">
        <v>1230</v>
      </c>
      <c r="H48">
        <v>1497</v>
      </c>
      <c r="I48">
        <v>1672</v>
      </c>
      <c r="J48">
        <v>1156.5</v>
      </c>
      <c r="K48">
        <v>73.5</v>
      </c>
      <c r="L48" s="2">
        <v>0.88240380458279288</v>
      </c>
      <c r="M48" s="2">
        <v>0.1970794989381954</v>
      </c>
      <c r="N48" s="2">
        <v>0.223343890761414</v>
      </c>
      <c r="O48" s="2">
        <v>1.0129701686121919</v>
      </c>
      <c r="P48" s="2">
        <v>8.2410405003551596E-2</v>
      </c>
      <c r="Q48" s="2">
        <v>8.1355214158435704E-2</v>
      </c>
      <c r="R48" s="2">
        <v>1.370082144401211</v>
      </c>
      <c r="S48" s="2">
        <v>0.1153525343337778</v>
      </c>
      <c r="T48" s="2">
        <v>8.4193881954568617E-2</v>
      </c>
      <c r="U48" s="2">
        <v>0.38889298687441831</v>
      </c>
      <c r="V48" t="s">
        <v>31</v>
      </c>
      <c r="W48" t="s">
        <v>37</v>
      </c>
      <c r="X48" t="s">
        <v>33</v>
      </c>
      <c r="Y48" t="s">
        <v>77</v>
      </c>
      <c r="Z48" t="s">
        <v>78</v>
      </c>
      <c r="AA48" s="3">
        <v>3</v>
      </c>
      <c r="AB48" s="3">
        <v>4</v>
      </c>
      <c r="AC48" s="2">
        <v>0.44689718553415497</v>
      </c>
      <c r="AD48" s="2">
        <v>0.512028461960371</v>
      </c>
      <c r="AE48" s="2">
        <v>2.003062699609675</v>
      </c>
      <c r="AF48" s="2">
        <v>1.624766931877802</v>
      </c>
    </row>
    <row r="49" spans="1:32" x14ac:dyDescent="0.3">
      <c r="A49" s="13" t="s">
        <v>113</v>
      </c>
      <c r="B49">
        <v>82</v>
      </c>
      <c r="C49">
        <v>54</v>
      </c>
      <c r="D49">
        <v>91</v>
      </c>
      <c r="E49">
        <v>65</v>
      </c>
      <c r="F49">
        <v>94</v>
      </c>
      <c r="G49">
        <v>98</v>
      </c>
      <c r="H49">
        <v>151</v>
      </c>
      <c r="I49">
        <v>134</v>
      </c>
      <c r="J49">
        <v>96</v>
      </c>
      <c r="K49">
        <v>2</v>
      </c>
      <c r="L49" s="2">
        <v>0.70833333333333337</v>
      </c>
      <c r="M49" s="2">
        <v>0.14657806288953179</v>
      </c>
      <c r="N49" s="2">
        <v>0.20693373584404481</v>
      </c>
      <c r="O49" s="2">
        <v>0.8125</v>
      </c>
      <c r="P49" s="2">
        <v>0.1364705087602619</v>
      </c>
      <c r="Q49" s="2">
        <v>0.16796370308955311</v>
      </c>
      <c r="R49" s="2">
        <v>1.484375</v>
      </c>
      <c r="S49" s="2">
        <v>9.3786726927858582E-2</v>
      </c>
      <c r="T49" s="2">
        <v>6.3182637088241567E-2</v>
      </c>
      <c r="U49" s="2">
        <v>0.43808007602183952</v>
      </c>
      <c r="V49" t="s">
        <v>31</v>
      </c>
      <c r="W49" t="s">
        <v>114</v>
      </c>
      <c r="X49" t="s">
        <v>66</v>
      </c>
      <c r="Y49" t="s">
        <v>74</v>
      </c>
      <c r="Z49" t="s">
        <v>75</v>
      </c>
      <c r="AA49" s="3">
        <v>2</v>
      </c>
      <c r="AB49" s="3">
        <v>2</v>
      </c>
      <c r="AC49" s="2">
        <v>0.42423072656541871</v>
      </c>
      <c r="AD49" s="2">
        <v>0.49978087425440432</v>
      </c>
      <c r="AE49" s="2">
        <v>2.5524812617231669</v>
      </c>
      <c r="AF49" s="2">
        <v>3.0113478588313729</v>
      </c>
    </row>
    <row r="50" spans="1:32" x14ac:dyDescent="0.3">
      <c r="A50" s="13" t="s">
        <v>115</v>
      </c>
      <c r="B50">
        <v>336</v>
      </c>
      <c r="C50">
        <v>215</v>
      </c>
      <c r="D50">
        <v>317</v>
      </c>
      <c r="E50">
        <v>275</v>
      </c>
      <c r="F50">
        <v>312</v>
      </c>
      <c r="G50">
        <v>311</v>
      </c>
      <c r="H50">
        <v>579</v>
      </c>
      <c r="I50">
        <v>485</v>
      </c>
      <c r="J50">
        <v>311.5</v>
      </c>
      <c r="K50">
        <v>0.5</v>
      </c>
      <c r="L50" s="2">
        <v>0.884430176565008</v>
      </c>
      <c r="M50" s="2">
        <v>0.1942266970423685</v>
      </c>
      <c r="N50" s="2">
        <v>0.2196065921186853</v>
      </c>
      <c r="O50" s="2">
        <v>0.9502407704654896</v>
      </c>
      <c r="P50" s="2">
        <v>6.743298253458288E-2</v>
      </c>
      <c r="Q50" s="2">
        <v>7.0964101552441108E-2</v>
      </c>
      <c r="R50" s="2">
        <v>1.707865168539326</v>
      </c>
      <c r="S50" s="2">
        <v>0.15090772653564721</v>
      </c>
      <c r="T50" s="2">
        <v>8.83604451425829E-2</v>
      </c>
      <c r="U50" s="2">
        <v>0.37893113881370932</v>
      </c>
      <c r="V50" t="s">
        <v>31</v>
      </c>
      <c r="W50" t="s">
        <v>37</v>
      </c>
      <c r="X50" t="s">
        <v>61</v>
      </c>
      <c r="Y50" t="s">
        <v>84</v>
      </c>
      <c r="Z50" t="s">
        <v>85</v>
      </c>
      <c r="AA50" s="3">
        <v>1</v>
      </c>
      <c r="AB50" s="3">
        <v>1</v>
      </c>
      <c r="AC50" s="2">
        <v>0.42281764655687343</v>
      </c>
      <c r="AD50" s="2">
        <v>0.4073432376985443</v>
      </c>
      <c r="AE50" s="2">
        <v>1.120796766765171</v>
      </c>
      <c r="AF50" s="2">
        <v>0.9548431991137768</v>
      </c>
    </row>
    <row r="51" spans="1:32" x14ac:dyDescent="0.3">
      <c r="A51" s="13" t="s">
        <v>116</v>
      </c>
      <c r="B51">
        <v>97</v>
      </c>
      <c r="C51">
        <v>82</v>
      </c>
      <c r="D51">
        <v>95</v>
      </c>
      <c r="E51">
        <v>87</v>
      </c>
      <c r="F51">
        <v>94</v>
      </c>
      <c r="G51">
        <v>85</v>
      </c>
      <c r="H51">
        <v>127</v>
      </c>
      <c r="I51">
        <v>133</v>
      </c>
      <c r="J51">
        <v>89.5</v>
      </c>
      <c r="K51">
        <v>4.5</v>
      </c>
      <c r="L51" s="2">
        <v>1</v>
      </c>
      <c r="M51" s="2">
        <v>9.772545075159722E-2</v>
      </c>
      <c r="N51" s="2">
        <v>9.772545075159722E-2</v>
      </c>
      <c r="O51" s="2">
        <v>1.016759776536313</v>
      </c>
      <c r="P51" s="2">
        <v>6.7903605623117175E-2</v>
      </c>
      <c r="Q51" s="2">
        <v>6.6784315420538323E-2</v>
      </c>
      <c r="R51" s="2">
        <v>1.4525139664804469</v>
      </c>
      <c r="S51" s="2">
        <v>8.0356393549907451E-2</v>
      </c>
      <c r="T51" s="2">
        <v>5.5322286328590133E-2</v>
      </c>
      <c r="U51" s="2">
        <v>0.21983205250072571</v>
      </c>
      <c r="V51" t="s">
        <v>44</v>
      </c>
      <c r="W51" t="s">
        <v>37</v>
      </c>
      <c r="X51" t="s">
        <v>37</v>
      </c>
      <c r="Y51" t="s">
        <v>77</v>
      </c>
      <c r="Z51" t="s">
        <v>78</v>
      </c>
      <c r="AA51" s="3">
        <v>3</v>
      </c>
      <c r="AB51" s="3">
        <v>3</v>
      </c>
      <c r="AC51" s="2">
        <v>0.42611992948085198</v>
      </c>
      <c r="AD51" s="2">
        <v>0.47062707692701861</v>
      </c>
      <c r="AE51" s="2">
        <v>1.155727738963928</v>
      </c>
      <c r="AF51" s="2">
        <v>0.87402926638475609</v>
      </c>
    </row>
    <row r="52" spans="1:32" x14ac:dyDescent="0.3">
      <c r="A52" s="13" t="s">
        <v>117</v>
      </c>
      <c r="B52">
        <v>2116</v>
      </c>
      <c r="C52">
        <v>1250</v>
      </c>
      <c r="D52">
        <v>2034</v>
      </c>
      <c r="E52">
        <v>1972</v>
      </c>
      <c r="F52">
        <v>2048</v>
      </c>
      <c r="G52">
        <v>2272</v>
      </c>
      <c r="H52">
        <v>2420</v>
      </c>
      <c r="I52">
        <v>2902</v>
      </c>
      <c r="J52">
        <v>2160</v>
      </c>
      <c r="K52">
        <v>112</v>
      </c>
      <c r="L52" s="2">
        <v>0.77916666666666667</v>
      </c>
      <c r="M52" s="2">
        <v>0.2044936656097221</v>
      </c>
      <c r="N52" s="2">
        <v>0.26245176334937592</v>
      </c>
      <c r="O52" s="2">
        <v>0.92731481481481481</v>
      </c>
      <c r="P52" s="2">
        <v>5.0179175134441298E-2</v>
      </c>
      <c r="Q52" s="2">
        <v>5.4112340634245228E-2</v>
      </c>
      <c r="R52" s="2">
        <v>1.231944444444445</v>
      </c>
      <c r="S52" s="2">
        <v>0.12856612947661189</v>
      </c>
      <c r="T52" s="2">
        <v>0.104360330578535</v>
      </c>
      <c r="U52" s="2">
        <v>0.42092443456215622</v>
      </c>
      <c r="V52" t="s">
        <v>31</v>
      </c>
      <c r="W52" t="s">
        <v>51</v>
      </c>
      <c r="X52" t="s">
        <v>33</v>
      </c>
      <c r="Y52" t="s">
        <v>74</v>
      </c>
      <c r="Z52" t="s">
        <v>75</v>
      </c>
      <c r="AA52" s="3">
        <v>4</v>
      </c>
      <c r="AB52" s="3">
        <v>6</v>
      </c>
      <c r="AC52" s="2">
        <v>0.34296040076297551</v>
      </c>
      <c r="AD52" s="2">
        <v>0.67946886095572145</v>
      </c>
      <c r="AE52" s="2">
        <v>1.0169086326330561</v>
      </c>
      <c r="AF52" s="2">
        <v>1.292409677753217</v>
      </c>
    </row>
    <row r="53" spans="1:32" x14ac:dyDescent="0.3">
      <c r="A53" s="13" t="s">
        <v>118</v>
      </c>
      <c r="B53">
        <v>20</v>
      </c>
      <c r="C53">
        <v>16</v>
      </c>
      <c r="D53">
        <v>17</v>
      </c>
      <c r="E53">
        <v>20</v>
      </c>
      <c r="F53">
        <v>24</v>
      </c>
      <c r="G53">
        <v>19</v>
      </c>
      <c r="H53">
        <v>20</v>
      </c>
      <c r="I53">
        <v>27</v>
      </c>
      <c r="J53">
        <v>21.5</v>
      </c>
      <c r="K53">
        <v>2.5</v>
      </c>
      <c r="L53" s="2">
        <v>0.83720930232558144</v>
      </c>
      <c r="M53" s="2">
        <v>0.13464892434479561</v>
      </c>
      <c r="N53" s="2">
        <v>0.16083065963406129</v>
      </c>
      <c r="O53" s="2">
        <v>0.86046511627906974</v>
      </c>
      <c r="P53" s="2">
        <v>0.1219767007522676</v>
      </c>
      <c r="Q53" s="2">
        <v>0.1417567062796623</v>
      </c>
      <c r="R53" s="2">
        <v>1.093023255813953</v>
      </c>
      <c r="S53" s="2">
        <v>0.2065287756652826</v>
      </c>
      <c r="T53" s="2">
        <v>0.1889518585873862</v>
      </c>
      <c r="U53" s="2">
        <v>0.49153922450110987</v>
      </c>
      <c r="V53" t="s">
        <v>53</v>
      </c>
      <c r="W53" t="s">
        <v>70</v>
      </c>
      <c r="X53" t="s">
        <v>38</v>
      </c>
      <c r="Y53" t="s">
        <v>62</v>
      </c>
      <c r="Z53" t="s">
        <v>63</v>
      </c>
      <c r="AA53" s="3">
        <v>4</v>
      </c>
      <c r="AB53" s="3">
        <v>6</v>
      </c>
      <c r="AC53" s="2">
        <v>0.96818974534452151</v>
      </c>
      <c r="AD53" s="2">
        <v>0.61391760642255322</v>
      </c>
      <c r="AE53" s="2">
        <v>1.8440841185354711</v>
      </c>
      <c r="AF53" s="2">
        <v>1.544681272070094</v>
      </c>
    </row>
    <row r="54" spans="1:32" x14ac:dyDescent="0.3">
      <c r="A54" s="13" t="s">
        <v>119</v>
      </c>
      <c r="B54">
        <v>2514</v>
      </c>
      <c r="C54">
        <v>1350</v>
      </c>
      <c r="D54">
        <v>2219</v>
      </c>
      <c r="E54">
        <v>2245</v>
      </c>
      <c r="F54">
        <v>2435</v>
      </c>
      <c r="G54">
        <v>2447</v>
      </c>
      <c r="H54">
        <v>2443</v>
      </c>
      <c r="I54">
        <v>3350</v>
      </c>
      <c r="J54">
        <v>2441</v>
      </c>
      <c r="K54">
        <v>6</v>
      </c>
      <c r="L54" s="2">
        <v>0.79147890208930771</v>
      </c>
      <c r="M54" s="2">
        <v>0.2384348111737111</v>
      </c>
      <c r="N54" s="2">
        <v>0.30125226401399008</v>
      </c>
      <c r="O54" s="2">
        <v>0.91437935272429327</v>
      </c>
      <c r="P54" s="2">
        <v>5.7805213029048907E-3</v>
      </c>
      <c r="Q54" s="2">
        <v>6.3217977152288706E-3</v>
      </c>
      <c r="R54" s="2">
        <v>1.186603850880787</v>
      </c>
      <c r="S54" s="2">
        <v>0.18580740804270671</v>
      </c>
      <c r="T54" s="2">
        <v>0.15658756534860929</v>
      </c>
      <c r="U54" s="2">
        <v>0.46416162707782832</v>
      </c>
      <c r="V54" t="s">
        <v>53</v>
      </c>
      <c r="W54" t="s">
        <v>51</v>
      </c>
      <c r="X54" t="s">
        <v>33</v>
      </c>
      <c r="Y54" t="s">
        <v>56</v>
      </c>
      <c r="Z54" t="s">
        <v>57</v>
      </c>
      <c r="AA54" s="3">
        <v>4</v>
      </c>
      <c r="AB54" s="3">
        <v>6</v>
      </c>
      <c r="AC54" s="2">
        <v>0.93800909354745088</v>
      </c>
      <c r="AD54" s="2">
        <v>1</v>
      </c>
      <c r="AE54" s="2">
        <v>1.1100697186969519</v>
      </c>
      <c r="AF54" s="2">
        <v>0.82782748534057149</v>
      </c>
    </row>
    <row r="55" spans="1:32" x14ac:dyDescent="0.3">
      <c r="A55" s="13" t="s">
        <v>120</v>
      </c>
      <c r="B55">
        <v>1475</v>
      </c>
      <c r="C55">
        <v>1019</v>
      </c>
      <c r="D55">
        <v>1340</v>
      </c>
      <c r="E55">
        <v>1305</v>
      </c>
      <c r="F55">
        <v>1273</v>
      </c>
      <c r="G55">
        <v>1432</v>
      </c>
      <c r="H55">
        <v>1922</v>
      </c>
      <c r="I55">
        <v>2367</v>
      </c>
      <c r="J55">
        <v>1352.5</v>
      </c>
      <c r="K55">
        <v>79.5</v>
      </c>
      <c r="L55" s="2">
        <v>0.92199630314232905</v>
      </c>
      <c r="M55" s="2">
        <v>0.1770740031581324</v>
      </c>
      <c r="N55" s="2">
        <v>0.19205500342532</v>
      </c>
      <c r="O55" s="2">
        <v>0.97781885397412205</v>
      </c>
      <c r="P55" s="2">
        <v>5.89146382337861E-2</v>
      </c>
      <c r="Q55" s="2">
        <v>6.0251076152132849E-2</v>
      </c>
      <c r="R55" s="2">
        <v>1.5855822550831791</v>
      </c>
      <c r="S55" s="2">
        <v>0.1890765549009607</v>
      </c>
      <c r="T55" s="2">
        <v>0.1192473958981345</v>
      </c>
      <c r="U55" s="2">
        <v>0.37155347547558742</v>
      </c>
      <c r="V55" t="s">
        <v>31</v>
      </c>
      <c r="W55" t="s">
        <v>37</v>
      </c>
      <c r="X55" t="s">
        <v>61</v>
      </c>
      <c r="Y55" t="s">
        <v>74</v>
      </c>
      <c r="Z55" t="s">
        <v>75</v>
      </c>
      <c r="AA55" s="3">
        <v>1</v>
      </c>
      <c r="AB55" s="3">
        <v>1</v>
      </c>
      <c r="AC55" s="2">
        <v>0.4151225420714893</v>
      </c>
      <c r="AD55" s="2">
        <v>0.42217628912085953</v>
      </c>
      <c r="AE55" s="2">
        <v>0.57275536565220708</v>
      </c>
      <c r="AF55" s="2">
        <v>1.263481754647644</v>
      </c>
    </row>
    <row r="56" spans="1:32" x14ac:dyDescent="0.3">
      <c r="A56" s="13" t="s">
        <v>121</v>
      </c>
      <c r="B56">
        <v>46</v>
      </c>
      <c r="C56">
        <v>42</v>
      </c>
      <c r="D56">
        <v>54</v>
      </c>
      <c r="E56">
        <v>41</v>
      </c>
      <c r="F56">
        <v>50</v>
      </c>
      <c r="G56">
        <v>57</v>
      </c>
      <c r="H56">
        <v>58</v>
      </c>
      <c r="I56">
        <v>75</v>
      </c>
      <c r="J56">
        <v>53.5</v>
      </c>
      <c r="K56">
        <v>3.5</v>
      </c>
      <c r="L56" s="2">
        <v>0.82242990654205606</v>
      </c>
      <c r="M56" s="2">
        <v>6.5516056208109741E-2</v>
      </c>
      <c r="N56" s="2">
        <v>7.9661568343951619E-2</v>
      </c>
      <c r="O56" s="2">
        <v>0.88785046728971961</v>
      </c>
      <c r="P56" s="2">
        <v>0.134665614985023</v>
      </c>
      <c r="Q56" s="2">
        <v>0.15167600845681539</v>
      </c>
      <c r="R56" s="2">
        <v>1.2429906542056079</v>
      </c>
      <c r="S56" s="2">
        <v>0.17847929128050419</v>
      </c>
      <c r="T56" s="2">
        <v>0.14358860275950339</v>
      </c>
      <c r="U56" s="2">
        <v>0.37492617956027041</v>
      </c>
      <c r="V56" t="s">
        <v>31</v>
      </c>
      <c r="W56" t="s">
        <v>32</v>
      </c>
      <c r="X56" t="s">
        <v>38</v>
      </c>
      <c r="Y56" t="s">
        <v>62</v>
      </c>
      <c r="Z56" t="s">
        <v>63</v>
      </c>
      <c r="AA56" s="3">
        <v>4</v>
      </c>
      <c r="AB56" s="3">
        <v>6</v>
      </c>
      <c r="AC56" s="2">
        <v>1</v>
      </c>
      <c r="AD56" s="2">
        <v>0.9516022568057011</v>
      </c>
      <c r="AE56" s="2">
        <v>0.55378962312830804</v>
      </c>
      <c r="AF56" s="2">
        <v>1.025177652633777</v>
      </c>
    </row>
    <row r="57" spans="1:32" x14ac:dyDescent="0.3">
      <c r="A57" s="13" t="s">
        <v>122</v>
      </c>
      <c r="B57">
        <v>12691</v>
      </c>
      <c r="C57">
        <v>7698</v>
      </c>
      <c r="D57">
        <v>11597</v>
      </c>
      <c r="E57">
        <v>10543</v>
      </c>
      <c r="F57">
        <v>9758</v>
      </c>
      <c r="G57">
        <v>11864</v>
      </c>
      <c r="H57">
        <v>16197</v>
      </c>
      <c r="I57">
        <v>18126</v>
      </c>
      <c r="J57">
        <v>10811</v>
      </c>
      <c r="K57">
        <v>1053</v>
      </c>
      <c r="L57" s="2">
        <v>0.94297474794191105</v>
      </c>
      <c r="M57" s="2">
        <v>0.24851729190530589</v>
      </c>
      <c r="N57" s="2">
        <v>0.26354607315594308</v>
      </c>
      <c r="O57" s="2">
        <v>1.0239570807510869</v>
      </c>
      <c r="P57" s="2">
        <v>0.111009698046992</v>
      </c>
      <c r="Q57" s="2">
        <v>0.10841245217579321</v>
      </c>
      <c r="R57" s="2">
        <v>1.5874109703080199</v>
      </c>
      <c r="S57" s="2">
        <v>0.1785079469837198</v>
      </c>
      <c r="T57" s="2">
        <v>0.1124522573691691</v>
      </c>
      <c r="U57" s="2">
        <v>0.48441078270090532</v>
      </c>
      <c r="V57" t="s">
        <v>53</v>
      </c>
      <c r="W57" t="s">
        <v>37</v>
      </c>
      <c r="X57" t="s">
        <v>61</v>
      </c>
      <c r="Y57" t="s">
        <v>84</v>
      </c>
      <c r="Z57" t="s">
        <v>85</v>
      </c>
      <c r="AA57" s="3">
        <v>1</v>
      </c>
      <c r="AB57" s="3">
        <v>1</v>
      </c>
      <c r="AC57" s="2">
        <v>0.4151225420714893</v>
      </c>
      <c r="AD57" s="2">
        <v>0.46948174838348872</v>
      </c>
      <c r="AE57" s="2">
        <v>1.2225513200129139</v>
      </c>
      <c r="AF57" s="2">
        <v>1.493788718300362</v>
      </c>
    </row>
    <row r="58" spans="1:32" x14ac:dyDescent="0.3">
      <c r="A58" s="13" t="s">
        <v>123</v>
      </c>
      <c r="B58">
        <v>313</v>
      </c>
      <c r="C58">
        <v>188</v>
      </c>
      <c r="D58">
        <v>300</v>
      </c>
      <c r="E58">
        <v>269</v>
      </c>
      <c r="F58">
        <v>255</v>
      </c>
      <c r="G58">
        <v>318</v>
      </c>
      <c r="H58">
        <v>446</v>
      </c>
      <c r="I58">
        <v>372</v>
      </c>
      <c r="J58">
        <v>286.5</v>
      </c>
      <c r="K58">
        <v>31.5</v>
      </c>
      <c r="L58" s="2">
        <v>0.87434554973821987</v>
      </c>
      <c r="M58" s="2">
        <v>0.23839225414200119</v>
      </c>
      <c r="N58" s="2">
        <v>0.27265221880911522</v>
      </c>
      <c r="O58" s="2">
        <v>0.99301919720767884</v>
      </c>
      <c r="P58" s="2">
        <v>0.1218492553907423</v>
      </c>
      <c r="Q58" s="2">
        <v>0.1227058406658969</v>
      </c>
      <c r="R58" s="2">
        <v>1.4275741710296681</v>
      </c>
      <c r="S58" s="2">
        <v>0.2032592858540119</v>
      </c>
      <c r="T58" s="2">
        <v>0.14238089339162449</v>
      </c>
      <c r="U58" s="2">
        <v>0.53773895286663653</v>
      </c>
      <c r="V58" t="s">
        <v>53</v>
      </c>
      <c r="W58" t="s">
        <v>37</v>
      </c>
      <c r="X58" t="s">
        <v>33</v>
      </c>
      <c r="Y58" t="s">
        <v>48</v>
      </c>
      <c r="Z58" t="s">
        <v>49</v>
      </c>
      <c r="AA58" s="3">
        <v>3</v>
      </c>
      <c r="AB58" s="3">
        <v>4</v>
      </c>
      <c r="AC58" s="2">
        <v>0.43537369683447308</v>
      </c>
      <c r="AD58" s="2">
        <v>0.45988099148661438</v>
      </c>
      <c r="AE58" s="2">
        <v>1.727480306083238</v>
      </c>
      <c r="AF58" s="2">
        <v>1.9510149195732409</v>
      </c>
    </row>
    <row r="59" spans="1:32" x14ac:dyDescent="0.3">
      <c r="A59" s="13" t="s">
        <v>124</v>
      </c>
      <c r="B59">
        <v>564</v>
      </c>
      <c r="C59">
        <v>400</v>
      </c>
      <c r="D59">
        <v>460</v>
      </c>
      <c r="E59">
        <v>465</v>
      </c>
      <c r="F59">
        <v>460</v>
      </c>
      <c r="G59">
        <v>548</v>
      </c>
      <c r="H59">
        <v>651</v>
      </c>
      <c r="I59">
        <v>680</v>
      </c>
      <c r="J59">
        <v>504</v>
      </c>
      <c r="K59">
        <v>44</v>
      </c>
      <c r="L59" s="2">
        <v>0.95634920634920639</v>
      </c>
      <c r="M59" s="2">
        <v>0.1828701391749909</v>
      </c>
      <c r="N59" s="2">
        <v>0.1912169090128536</v>
      </c>
      <c r="O59" s="2">
        <v>0.91765873015873012</v>
      </c>
      <c r="P59" s="2">
        <v>8.0266479502715954E-2</v>
      </c>
      <c r="Q59" s="2">
        <v>8.7468769014851552E-2</v>
      </c>
      <c r="R59" s="2">
        <v>1.3204365079365079</v>
      </c>
      <c r="S59" s="2">
        <v>0.11881206488319671</v>
      </c>
      <c r="T59" s="2">
        <v>8.9979384975403642E-2</v>
      </c>
      <c r="U59" s="2">
        <v>0.36866506300310881</v>
      </c>
      <c r="V59" t="s">
        <v>31</v>
      </c>
      <c r="W59" t="s">
        <v>32</v>
      </c>
      <c r="X59" t="s">
        <v>33</v>
      </c>
      <c r="Y59" t="s">
        <v>56</v>
      </c>
      <c r="Z59" t="s">
        <v>57</v>
      </c>
      <c r="AA59" s="3">
        <v>3</v>
      </c>
      <c r="AB59" s="3">
        <v>5</v>
      </c>
      <c r="AC59" s="2">
        <v>1</v>
      </c>
      <c r="AD59" s="2">
        <v>0.7877058449360379</v>
      </c>
      <c r="AE59" s="2">
        <v>1.2307402867175741</v>
      </c>
      <c r="AF59" s="2">
        <v>0.94433690854128494</v>
      </c>
    </row>
    <row r="60" spans="1:32" x14ac:dyDescent="0.3">
      <c r="A60" s="13" t="s">
        <v>125</v>
      </c>
      <c r="B60">
        <v>1117</v>
      </c>
      <c r="C60">
        <v>950</v>
      </c>
      <c r="D60">
        <v>942</v>
      </c>
      <c r="E60">
        <v>879</v>
      </c>
      <c r="F60">
        <v>889</v>
      </c>
      <c r="G60">
        <v>1083</v>
      </c>
      <c r="H60">
        <v>1450</v>
      </c>
      <c r="I60">
        <v>1379</v>
      </c>
      <c r="J60">
        <v>986</v>
      </c>
      <c r="K60">
        <v>97</v>
      </c>
      <c r="L60" s="2">
        <v>1.0481744421906689</v>
      </c>
      <c r="M60" s="2">
        <v>0.13343415604211151</v>
      </c>
      <c r="N60" s="2">
        <v>0.12730147833335459</v>
      </c>
      <c r="O60" s="2">
        <v>0.92342799188640978</v>
      </c>
      <c r="P60" s="2">
        <v>9.6298083551884434E-2</v>
      </c>
      <c r="Q60" s="2">
        <v>0.10428326236371011</v>
      </c>
      <c r="R60" s="2">
        <v>1.4345841784989859</v>
      </c>
      <c r="S60" s="2">
        <v>0.14565063657880251</v>
      </c>
      <c r="T60" s="2">
        <v>0.10152812136210621</v>
      </c>
      <c r="U60" s="2">
        <v>0.3331128620591709</v>
      </c>
      <c r="V60" t="s">
        <v>31</v>
      </c>
      <c r="W60" t="s">
        <v>37</v>
      </c>
      <c r="X60" t="s">
        <v>33</v>
      </c>
      <c r="Y60" t="s">
        <v>56</v>
      </c>
      <c r="Z60" t="s">
        <v>57</v>
      </c>
      <c r="AA60" s="3">
        <v>3</v>
      </c>
      <c r="AB60" s="3">
        <v>3</v>
      </c>
      <c r="AC60" s="2">
        <v>1</v>
      </c>
      <c r="AD60" s="2">
        <v>1</v>
      </c>
      <c r="AE60" s="2">
        <v>1.702360811326119</v>
      </c>
      <c r="AF60" s="2">
        <v>1.728279095811535</v>
      </c>
    </row>
    <row r="61" spans="1:32" x14ac:dyDescent="0.3">
      <c r="A61" s="13" t="s">
        <v>126</v>
      </c>
      <c r="B61">
        <v>1113</v>
      </c>
      <c r="C61">
        <v>852</v>
      </c>
      <c r="D61">
        <v>1050</v>
      </c>
      <c r="E61">
        <v>1010</v>
      </c>
      <c r="F61">
        <v>1072</v>
      </c>
      <c r="G61">
        <v>1129</v>
      </c>
      <c r="H61">
        <v>1133</v>
      </c>
      <c r="I61">
        <v>1415</v>
      </c>
      <c r="J61">
        <v>1100.5</v>
      </c>
      <c r="K61">
        <v>28.5</v>
      </c>
      <c r="L61" s="2">
        <v>0.8927760109041345</v>
      </c>
      <c r="M61" s="2">
        <v>0.1208153888853447</v>
      </c>
      <c r="N61" s="2">
        <v>0.13532553228327929</v>
      </c>
      <c r="O61" s="2">
        <v>0.93593820990458887</v>
      </c>
      <c r="P61" s="2">
        <v>3.0294767374288201E-2</v>
      </c>
      <c r="Q61" s="2">
        <v>3.2368341257673947E-2</v>
      </c>
      <c r="R61" s="2">
        <v>1.15765561108587</v>
      </c>
      <c r="S61" s="2">
        <v>0.13158443228896549</v>
      </c>
      <c r="T61" s="2">
        <v>0.11366457435950281</v>
      </c>
      <c r="U61" s="2">
        <v>0.28135844790045589</v>
      </c>
      <c r="V61" t="s">
        <v>44</v>
      </c>
      <c r="W61" t="s">
        <v>70</v>
      </c>
      <c r="X61" t="s">
        <v>33</v>
      </c>
      <c r="Y61" t="s">
        <v>34</v>
      </c>
      <c r="Z61" t="s">
        <v>35</v>
      </c>
      <c r="AA61" s="3">
        <v>4</v>
      </c>
      <c r="AB61" s="3">
        <v>6</v>
      </c>
      <c r="AC61" s="2">
        <v>1</v>
      </c>
      <c r="AD61" s="2">
        <v>0.82249892518693646</v>
      </c>
      <c r="AE61" s="2">
        <v>1.361250918550809</v>
      </c>
      <c r="AF61" s="2">
        <v>1.179430115161392</v>
      </c>
    </row>
    <row r="62" spans="1:32" x14ac:dyDescent="0.3">
      <c r="A62" s="13" t="s">
        <v>127</v>
      </c>
      <c r="B62">
        <v>145</v>
      </c>
      <c r="C62">
        <v>121</v>
      </c>
      <c r="D62">
        <v>157</v>
      </c>
      <c r="E62">
        <v>113</v>
      </c>
      <c r="F62">
        <v>144</v>
      </c>
      <c r="G62">
        <v>159</v>
      </c>
      <c r="H62">
        <v>197</v>
      </c>
      <c r="I62">
        <v>234</v>
      </c>
      <c r="J62">
        <v>151.5</v>
      </c>
      <c r="K62">
        <v>7.5</v>
      </c>
      <c r="L62" s="2">
        <v>0.87788778877887785</v>
      </c>
      <c r="M62" s="2">
        <v>9.0347375144429906E-2</v>
      </c>
      <c r="N62" s="2">
        <v>0.1029144912359484</v>
      </c>
      <c r="O62" s="2">
        <v>0.8910891089108911</v>
      </c>
      <c r="P62" s="2">
        <v>0.15176706638185131</v>
      </c>
      <c r="Q62" s="2">
        <v>0.17031637449518869</v>
      </c>
      <c r="R62" s="2">
        <v>1.422442244224422</v>
      </c>
      <c r="S62" s="2">
        <v>0.1409612620571401</v>
      </c>
      <c r="T62" s="2">
        <v>9.909805662021684E-2</v>
      </c>
      <c r="U62" s="2">
        <v>0.37232892235135379</v>
      </c>
      <c r="V62" t="s">
        <v>31</v>
      </c>
      <c r="W62" t="s">
        <v>37</v>
      </c>
      <c r="X62" t="s">
        <v>38</v>
      </c>
      <c r="Y62" t="s">
        <v>77</v>
      </c>
      <c r="Z62" t="s">
        <v>78</v>
      </c>
      <c r="AA62" s="3">
        <v>2</v>
      </c>
      <c r="AB62" s="3">
        <v>4</v>
      </c>
      <c r="AC62" s="2">
        <v>0.44623807441546032</v>
      </c>
      <c r="AD62" s="2">
        <v>0.46574928728043641</v>
      </c>
      <c r="AE62" s="2">
        <v>1.8141348586098101</v>
      </c>
      <c r="AF62" s="2">
        <v>2.4749577127573872</v>
      </c>
    </row>
    <row r="63" spans="1:32" x14ac:dyDescent="0.3">
      <c r="A63" s="13" t="s">
        <v>128</v>
      </c>
      <c r="B63">
        <v>5049</v>
      </c>
      <c r="C63">
        <v>2571</v>
      </c>
      <c r="D63">
        <v>4865</v>
      </c>
      <c r="E63">
        <v>4484</v>
      </c>
      <c r="F63">
        <v>4539</v>
      </c>
      <c r="G63">
        <v>5532</v>
      </c>
      <c r="H63">
        <v>7952</v>
      </c>
      <c r="I63">
        <v>8204</v>
      </c>
      <c r="J63">
        <v>5035.5</v>
      </c>
      <c r="K63">
        <v>496.5</v>
      </c>
      <c r="L63" s="2">
        <v>0.75662794161453684</v>
      </c>
      <c r="M63" s="2">
        <v>0.25711430944347158</v>
      </c>
      <c r="N63" s="2">
        <v>0.33981603811091893</v>
      </c>
      <c r="O63" s="2">
        <v>0.92830900605699529</v>
      </c>
      <c r="P63" s="2">
        <v>9.9041291903069234E-2</v>
      </c>
      <c r="Q63" s="2">
        <v>0.10669000435937639</v>
      </c>
      <c r="R63" s="2">
        <v>1.6042101082315561</v>
      </c>
      <c r="S63" s="2">
        <v>0.1601419834620981</v>
      </c>
      <c r="T63" s="2">
        <v>9.9826065576057818E-2</v>
      </c>
      <c r="U63" s="2">
        <v>0.54633210804635313</v>
      </c>
      <c r="V63" t="s">
        <v>53</v>
      </c>
      <c r="W63" t="s">
        <v>87</v>
      </c>
      <c r="X63" t="s">
        <v>61</v>
      </c>
      <c r="Y63" t="s">
        <v>34</v>
      </c>
      <c r="Z63" t="s">
        <v>35</v>
      </c>
      <c r="AA63" s="3">
        <v>2</v>
      </c>
      <c r="AB63" s="3">
        <v>2</v>
      </c>
      <c r="AC63" s="2">
        <v>0.42343169473928077</v>
      </c>
      <c r="AD63" s="2">
        <v>0.39218402327515828</v>
      </c>
      <c r="AE63" s="2">
        <v>0.67811264059383281</v>
      </c>
      <c r="AF63" s="2">
        <v>0.73384806247108847</v>
      </c>
    </row>
    <row r="64" spans="1:32" x14ac:dyDescent="0.3">
      <c r="A64" s="13" t="s">
        <v>129</v>
      </c>
      <c r="B64">
        <v>392</v>
      </c>
      <c r="C64">
        <v>266</v>
      </c>
      <c r="D64">
        <v>340</v>
      </c>
      <c r="E64">
        <v>351</v>
      </c>
      <c r="F64">
        <v>292</v>
      </c>
      <c r="G64">
        <v>366</v>
      </c>
      <c r="H64">
        <v>433</v>
      </c>
      <c r="I64">
        <v>557</v>
      </c>
      <c r="J64">
        <v>329</v>
      </c>
      <c r="K64">
        <v>37</v>
      </c>
      <c r="L64" s="2">
        <v>1</v>
      </c>
      <c r="M64" s="2">
        <v>0.2220717867186362</v>
      </c>
      <c r="N64" s="2">
        <v>0.2220717867186362</v>
      </c>
      <c r="O64" s="2">
        <v>1.0501519756838911</v>
      </c>
      <c r="P64" s="2">
        <v>0.11927949574538441</v>
      </c>
      <c r="Q64" s="2">
        <v>0.1135830798848957</v>
      </c>
      <c r="R64" s="2">
        <v>1.504559270516717</v>
      </c>
      <c r="S64" s="2">
        <v>0.25326652433471691</v>
      </c>
      <c r="T64" s="2">
        <v>0.16833270001236739</v>
      </c>
      <c r="U64" s="2">
        <v>0.50398756661589927</v>
      </c>
      <c r="V64" t="s">
        <v>53</v>
      </c>
      <c r="W64" t="s">
        <v>37</v>
      </c>
      <c r="X64" t="s">
        <v>33</v>
      </c>
      <c r="Y64" t="s">
        <v>34</v>
      </c>
      <c r="Z64" t="s">
        <v>35</v>
      </c>
      <c r="AA64" s="3">
        <v>3</v>
      </c>
      <c r="AB64" s="3">
        <v>3</v>
      </c>
      <c r="AC64" s="2">
        <v>1</v>
      </c>
      <c r="AD64" s="2">
        <v>0.94703047168536103</v>
      </c>
      <c r="AE64" s="2">
        <v>1.920743984789391</v>
      </c>
      <c r="AF64" s="2">
        <v>1.7110790430807681</v>
      </c>
    </row>
    <row r="65" spans="1:32" x14ac:dyDescent="0.3">
      <c r="A65" s="13" t="s">
        <v>130</v>
      </c>
      <c r="B65">
        <v>899</v>
      </c>
      <c r="C65">
        <v>594</v>
      </c>
      <c r="D65">
        <v>786</v>
      </c>
      <c r="E65">
        <v>739</v>
      </c>
      <c r="F65">
        <v>789</v>
      </c>
      <c r="G65">
        <v>924</v>
      </c>
      <c r="H65">
        <v>1073</v>
      </c>
      <c r="I65">
        <v>1692</v>
      </c>
      <c r="J65">
        <v>856.5</v>
      </c>
      <c r="K65">
        <v>67.5</v>
      </c>
      <c r="L65" s="2">
        <v>0.87157034442498538</v>
      </c>
      <c r="M65" s="2">
        <v>0.19083991378865539</v>
      </c>
      <c r="N65" s="2">
        <v>0.21896099954451889</v>
      </c>
      <c r="O65" s="2">
        <v>0.89025102159953295</v>
      </c>
      <c r="P65" s="2">
        <v>7.5334004650871159E-2</v>
      </c>
      <c r="Q65" s="2">
        <v>8.4621081945535928E-2</v>
      </c>
      <c r="R65" s="2">
        <v>1.6141272621132521</v>
      </c>
      <c r="S65" s="2">
        <v>0.38309114126359251</v>
      </c>
      <c r="T65" s="2">
        <v>0.2373363923994698</v>
      </c>
      <c r="U65" s="2">
        <v>0.54091847388952452</v>
      </c>
      <c r="V65" t="s">
        <v>53</v>
      </c>
      <c r="W65" t="s">
        <v>37</v>
      </c>
      <c r="X65" t="s">
        <v>38</v>
      </c>
      <c r="Y65" t="s">
        <v>62</v>
      </c>
      <c r="Z65" t="s">
        <v>63</v>
      </c>
      <c r="AA65" s="3">
        <v>1</v>
      </c>
      <c r="AB65" s="3">
        <v>2</v>
      </c>
      <c r="AC65" s="2">
        <v>0.42281764655687343</v>
      </c>
      <c r="AD65" s="2">
        <v>0.43985810917945678</v>
      </c>
      <c r="AE65" s="2">
        <v>1.8481366116606699</v>
      </c>
      <c r="AF65" s="2">
        <v>2.1353003281225051</v>
      </c>
    </row>
    <row r="66" spans="1:32" x14ac:dyDescent="0.3">
      <c r="A66" s="13" t="s">
        <v>131</v>
      </c>
      <c r="B66">
        <v>163</v>
      </c>
      <c r="C66">
        <v>97</v>
      </c>
      <c r="D66">
        <v>178</v>
      </c>
      <c r="E66">
        <v>128</v>
      </c>
      <c r="F66">
        <v>141</v>
      </c>
      <c r="G66">
        <v>161</v>
      </c>
      <c r="H66">
        <v>243</v>
      </c>
      <c r="I66">
        <v>274</v>
      </c>
      <c r="J66">
        <v>151</v>
      </c>
      <c r="K66">
        <v>10</v>
      </c>
      <c r="L66" s="2">
        <v>0.86092715231788075</v>
      </c>
      <c r="M66" s="2">
        <v>0.22585787181842679</v>
      </c>
      <c r="N66" s="2">
        <v>0.26234260495832651</v>
      </c>
      <c r="O66" s="2">
        <v>1.0132450331125831</v>
      </c>
      <c r="P66" s="2">
        <v>0.1786443388992266</v>
      </c>
      <c r="Q66" s="2">
        <v>0.17630911878289679</v>
      </c>
      <c r="R66" s="2">
        <v>1.711920529801324</v>
      </c>
      <c r="S66" s="2">
        <v>0.15293815398867611</v>
      </c>
      <c r="T66" s="2">
        <v>8.9337180859922982E-2</v>
      </c>
      <c r="U66" s="2">
        <v>0.52798890460114634</v>
      </c>
      <c r="V66" t="s">
        <v>53</v>
      </c>
      <c r="W66" t="s">
        <v>37</v>
      </c>
      <c r="X66" t="s">
        <v>66</v>
      </c>
      <c r="Y66" t="s">
        <v>34</v>
      </c>
      <c r="Z66" t="s">
        <v>35</v>
      </c>
      <c r="AA66" s="3">
        <v>1</v>
      </c>
      <c r="AB66" s="3">
        <v>1</v>
      </c>
      <c r="AC66" s="2">
        <v>0.42281764655687343</v>
      </c>
      <c r="AD66" s="2">
        <v>0.39816951778407289</v>
      </c>
      <c r="AE66" s="2">
        <v>1.094882989242812</v>
      </c>
      <c r="AF66" s="2">
        <v>1.167790078338361</v>
      </c>
    </row>
    <row r="67" spans="1:32" x14ac:dyDescent="0.3">
      <c r="A67" s="13" t="s">
        <v>132</v>
      </c>
      <c r="B67">
        <v>894</v>
      </c>
      <c r="C67">
        <v>567</v>
      </c>
      <c r="D67">
        <v>877</v>
      </c>
      <c r="E67">
        <v>761</v>
      </c>
      <c r="F67">
        <v>673</v>
      </c>
      <c r="G67">
        <v>811</v>
      </c>
      <c r="H67">
        <v>1437</v>
      </c>
      <c r="I67">
        <v>1124</v>
      </c>
      <c r="J67">
        <v>742</v>
      </c>
      <c r="K67">
        <v>69</v>
      </c>
      <c r="L67" s="2">
        <v>0.98450134770889486</v>
      </c>
      <c r="M67" s="2">
        <v>0.23861228978112869</v>
      </c>
      <c r="N67" s="2">
        <v>0.24236867764215941</v>
      </c>
      <c r="O67" s="2">
        <v>1.10377358490566</v>
      </c>
      <c r="P67" s="2">
        <v>0.12901737041340181</v>
      </c>
      <c r="Q67" s="2">
        <v>0.1168875321694068</v>
      </c>
      <c r="R67" s="2">
        <v>1.725741239892183</v>
      </c>
      <c r="S67" s="2">
        <v>0.26502748853093022</v>
      </c>
      <c r="T67" s="2">
        <v>0.153573132752792</v>
      </c>
      <c r="U67" s="2">
        <v>0.5128293425643583</v>
      </c>
      <c r="V67" t="s">
        <v>53</v>
      </c>
      <c r="W67" t="s">
        <v>37</v>
      </c>
      <c r="X67" t="s">
        <v>66</v>
      </c>
      <c r="Y67" t="s">
        <v>34</v>
      </c>
      <c r="Z67" t="s">
        <v>35</v>
      </c>
      <c r="AA67" s="3">
        <v>1</v>
      </c>
      <c r="AB67" s="3">
        <v>1</v>
      </c>
      <c r="AC67" s="2">
        <v>1</v>
      </c>
      <c r="AD67" s="2">
        <v>0.84236477939619647</v>
      </c>
      <c r="AE67" s="2">
        <v>2.8062091815708592</v>
      </c>
      <c r="AF67" s="2">
        <v>2.864893094572988</v>
      </c>
    </row>
    <row r="68" spans="1:32" x14ac:dyDescent="0.3">
      <c r="A68" s="13" t="s">
        <v>133</v>
      </c>
      <c r="B68">
        <v>46</v>
      </c>
      <c r="C68">
        <v>38</v>
      </c>
      <c r="D68">
        <v>58</v>
      </c>
      <c r="E68">
        <v>41</v>
      </c>
      <c r="F68">
        <v>51</v>
      </c>
      <c r="G68">
        <v>59</v>
      </c>
      <c r="H68">
        <v>93</v>
      </c>
      <c r="I68">
        <v>62</v>
      </c>
      <c r="J68">
        <v>55</v>
      </c>
      <c r="K68">
        <v>4</v>
      </c>
      <c r="L68" s="2">
        <v>0.76363636363636367</v>
      </c>
      <c r="M68" s="2">
        <v>9.1507571711978611E-2</v>
      </c>
      <c r="N68" s="2">
        <v>0.1198313439085434</v>
      </c>
      <c r="O68" s="2">
        <v>0.9</v>
      </c>
      <c r="P68" s="2">
        <v>0.1678350232857323</v>
      </c>
      <c r="Q68" s="2">
        <v>0.18648335920636919</v>
      </c>
      <c r="R68" s="2">
        <v>1.4090909090909089</v>
      </c>
      <c r="S68" s="2">
        <v>0.29987247705149461</v>
      </c>
      <c r="T68" s="2">
        <v>0.2128127256494477</v>
      </c>
      <c r="U68" s="2">
        <v>0.51912742876436035</v>
      </c>
      <c r="V68" t="s">
        <v>53</v>
      </c>
      <c r="W68" t="s">
        <v>87</v>
      </c>
      <c r="X68" t="s">
        <v>38</v>
      </c>
      <c r="Y68" t="s">
        <v>34</v>
      </c>
      <c r="Z68" t="s">
        <v>35</v>
      </c>
      <c r="AA68" s="3">
        <v>4</v>
      </c>
      <c r="AB68" s="3">
        <v>4</v>
      </c>
      <c r="AC68" s="2">
        <v>0.43278076445914809</v>
      </c>
      <c r="AD68" s="2">
        <v>0.42235643574257409</v>
      </c>
      <c r="AE68" s="2">
        <v>1.9950477542701019</v>
      </c>
      <c r="AF68" s="2">
        <v>1.540647266028349</v>
      </c>
    </row>
    <row r="69" spans="1:32" x14ac:dyDescent="0.3">
      <c r="A69" s="13" t="s">
        <v>134</v>
      </c>
      <c r="B69">
        <v>317</v>
      </c>
      <c r="C69">
        <v>177</v>
      </c>
      <c r="D69">
        <v>327</v>
      </c>
      <c r="E69">
        <v>257</v>
      </c>
      <c r="F69">
        <v>303</v>
      </c>
      <c r="G69">
        <v>332</v>
      </c>
      <c r="H69">
        <v>549</v>
      </c>
      <c r="I69">
        <v>458</v>
      </c>
      <c r="J69">
        <v>317.5</v>
      </c>
      <c r="K69">
        <v>14.5</v>
      </c>
      <c r="L69" s="2">
        <v>0.77795275590551183</v>
      </c>
      <c r="M69" s="2">
        <v>0.2233167596854557</v>
      </c>
      <c r="N69" s="2">
        <v>0.28705696842158768</v>
      </c>
      <c r="O69" s="2">
        <v>0.91968503937007873</v>
      </c>
      <c r="P69" s="2">
        <v>0.1179666854757658</v>
      </c>
      <c r="Q69" s="2">
        <v>0.12826857067998509</v>
      </c>
      <c r="R69" s="2">
        <v>1.585826771653543</v>
      </c>
      <c r="S69" s="2">
        <v>0.16056804388158111</v>
      </c>
      <c r="T69" s="2">
        <v>0.10125194425501879</v>
      </c>
      <c r="U69" s="2">
        <v>0.5165774833565917</v>
      </c>
      <c r="V69" t="s">
        <v>53</v>
      </c>
      <c r="W69" t="s">
        <v>87</v>
      </c>
      <c r="X69" t="s">
        <v>66</v>
      </c>
      <c r="Y69" t="s">
        <v>39</v>
      </c>
      <c r="Z69" t="s">
        <v>40</v>
      </c>
      <c r="AA69" s="3">
        <v>2</v>
      </c>
      <c r="AB69" s="3">
        <v>2</v>
      </c>
      <c r="AC69" s="2">
        <v>0.43265314621640988</v>
      </c>
      <c r="AD69" s="2">
        <v>0.39218402327515828</v>
      </c>
      <c r="AE69" s="2">
        <v>0.42018361012178679</v>
      </c>
      <c r="AF69" s="2">
        <v>0.38423514207661591</v>
      </c>
    </row>
    <row r="70" spans="1:32" x14ac:dyDescent="0.3">
      <c r="A70" s="13" t="s">
        <v>135</v>
      </c>
      <c r="B70">
        <v>797</v>
      </c>
      <c r="C70">
        <v>550</v>
      </c>
      <c r="D70">
        <v>836</v>
      </c>
      <c r="E70">
        <v>708</v>
      </c>
      <c r="F70">
        <v>774</v>
      </c>
      <c r="G70">
        <v>925</v>
      </c>
      <c r="H70">
        <v>1499</v>
      </c>
      <c r="I70">
        <v>1192</v>
      </c>
      <c r="J70">
        <v>849.5</v>
      </c>
      <c r="K70">
        <v>75.5</v>
      </c>
      <c r="L70" s="2">
        <v>0.79281930547380808</v>
      </c>
      <c r="M70" s="2">
        <v>0.16155555143358749</v>
      </c>
      <c r="N70" s="2">
        <v>0.20377348321133279</v>
      </c>
      <c r="O70" s="2">
        <v>0.90876986462625076</v>
      </c>
      <c r="P70" s="2">
        <v>0.11045041485241899</v>
      </c>
      <c r="Q70" s="2">
        <v>0.12153837748332889</v>
      </c>
      <c r="R70" s="2">
        <v>1.583872866391995</v>
      </c>
      <c r="S70" s="2">
        <v>0.22905487723521781</v>
      </c>
      <c r="T70" s="2">
        <v>0.14461695890844861</v>
      </c>
      <c r="U70" s="2">
        <v>0.46992881960311028</v>
      </c>
      <c r="V70" t="s">
        <v>53</v>
      </c>
      <c r="W70" t="s">
        <v>87</v>
      </c>
      <c r="X70" t="s">
        <v>38</v>
      </c>
      <c r="Y70" t="s">
        <v>48</v>
      </c>
      <c r="Z70" t="s">
        <v>49</v>
      </c>
      <c r="AA70" s="3">
        <v>2</v>
      </c>
      <c r="AB70" s="3">
        <v>2</v>
      </c>
      <c r="AC70" s="2">
        <v>0.41869324804593833</v>
      </c>
      <c r="AD70" s="2">
        <v>0.39218402327515828</v>
      </c>
      <c r="AE70" s="2">
        <v>0.56961575827739652</v>
      </c>
      <c r="AF70" s="2">
        <v>0.55036082551552257</v>
      </c>
    </row>
    <row r="71" spans="1:32" x14ac:dyDescent="0.3">
      <c r="A71" s="13" t="s">
        <v>136</v>
      </c>
      <c r="B71">
        <v>69</v>
      </c>
      <c r="C71">
        <v>66</v>
      </c>
      <c r="D71">
        <v>59</v>
      </c>
      <c r="E71">
        <v>64</v>
      </c>
      <c r="F71">
        <v>61</v>
      </c>
      <c r="G71">
        <v>61</v>
      </c>
      <c r="H71">
        <v>68</v>
      </c>
      <c r="I71">
        <v>101</v>
      </c>
      <c r="J71">
        <v>61</v>
      </c>
      <c r="K71">
        <v>0</v>
      </c>
      <c r="L71" s="2">
        <v>1.1065573770491799</v>
      </c>
      <c r="M71" s="2">
        <v>2.4590163934426229E-2</v>
      </c>
      <c r="N71" s="2">
        <v>2.222222222222222E-2</v>
      </c>
      <c r="O71" s="2">
        <v>1.0081967213114751</v>
      </c>
      <c r="P71" s="2">
        <v>4.0983606557377053E-2</v>
      </c>
      <c r="Q71" s="2">
        <v>4.065040650406504E-2</v>
      </c>
      <c r="R71" s="2">
        <v>1.3852459016393439</v>
      </c>
      <c r="S71" s="2">
        <v>0.27049180327868849</v>
      </c>
      <c r="T71" s="2">
        <v>0.19526627218934911</v>
      </c>
      <c r="U71" s="2">
        <v>0.2581389009156364</v>
      </c>
      <c r="V71" t="s">
        <v>44</v>
      </c>
      <c r="W71" t="s">
        <v>37</v>
      </c>
      <c r="X71" t="s">
        <v>55</v>
      </c>
      <c r="Y71" t="s">
        <v>74</v>
      </c>
      <c r="Z71" t="s">
        <v>75</v>
      </c>
      <c r="AA71" s="3">
        <v>3</v>
      </c>
      <c r="AB71" s="3">
        <v>3</v>
      </c>
      <c r="AC71" s="2">
        <v>0.55784934544620235</v>
      </c>
      <c r="AD71" s="2">
        <v>0.87099645029911954</v>
      </c>
      <c r="AE71" s="2">
        <v>2.1404918500411059</v>
      </c>
      <c r="AF71" s="2">
        <v>2.1062560610966901</v>
      </c>
    </row>
    <row r="72" spans="1:32" x14ac:dyDescent="0.3">
      <c r="A72" s="13" t="s">
        <v>137</v>
      </c>
      <c r="B72">
        <v>164</v>
      </c>
      <c r="C72">
        <v>138</v>
      </c>
      <c r="D72">
        <v>206</v>
      </c>
      <c r="E72">
        <v>157</v>
      </c>
      <c r="F72">
        <v>158</v>
      </c>
      <c r="G72">
        <v>185</v>
      </c>
      <c r="H72">
        <v>326</v>
      </c>
      <c r="I72">
        <v>251</v>
      </c>
      <c r="J72">
        <v>171.5</v>
      </c>
      <c r="K72">
        <v>13.5</v>
      </c>
      <c r="L72" s="2">
        <v>0.88046647230320696</v>
      </c>
      <c r="M72" s="2">
        <v>0.10271068179187021</v>
      </c>
      <c r="N72" s="2">
        <v>0.1166548472007003</v>
      </c>
      <c r="O72" s="2">
        <v>1.058309037900875</v>
      </c>
      <c r="P72" s="2">
        <v>0.16537303411717641</v>
      </c>
      <c r="Q72" s="2">
        <v>0.15626157218234579</v>
      </c>
      <c r="R72" s="2">
        <v>1.6822157434402329</v>
      </c>
      <c r="S72" s="2">
        <v>0.25562978330657732</v>
      </c>
      <c r="T72" s="2">
        <v>0.15196016581309529</v>
      </c>
      <c r="U72" s="2">
        <v>0.42487658519614141</v>
      </c>
      <c r="V72" t="s">
        <v>31</v>
      </c>
      <c r="W72" t="s">
        <v>37</v>
      </c>
      <c r="X72" t="s">
        <v>66</v>
      </c>
      <c r="Y72" t="s">
        <v>56</v>
      </c>
      <c r="Z72" t="s">
        <v>57</v>
      </c>
      <c r="AA72" s="3">
        <v>1</v>
      </c>
      <c r="AB72" s="3">
        <v>1</v>
      </c>
      <c r="AC72" s="2">
        <v>0.43259989127867099</v>
      </c>
      <c r="AD72" s="2">
        <v>0.39816951778407289</v>
      </c>
      <c r="AE72" s="2">
        <v>1.6089779342908641</v>
      </c>
      <c r="AF72" s="2">
        <v>1.7426080632665479</v>
      </c>
    </row>
    <row r="73" spans="1:32" x14ac:dyDescent="0.3">
      <c r="A73" s="13" t="s">
        <v>138</v>
      </c>
      <c r="B73">
        <v>33</v>
      </c>
      <c r="C73">
        <v>22</v>
      </c>
      <c r="D73">
        <v>24</v>
      </c>
      <c r="E73">
        <v>27</v>
      </c>
      <c r="F73">
        <v>37</v>
      </c>
      <c r="G73">
        <v>30</v>
      </c>
      <c r="H73">
        <v>36</v>
      </c>
      <c r="I73">
        <v>45</v>
      </c>
      <c r="J73">
        <v>33.5</v>
      </c>
      <c r="K73">
        <v>3.5</v>
      </c>
      <c r="L73" s="2">
        <v>0.82089552238805974</v>
      </c>
      <c r="M73" s="2">
        <v>0.18523079802058981</v>
      </c>
      <c r="N73" s="2">
        <v>0.22564479031599119</v>
      </c>
      <c r="O73" s="2">
        <v>0.76119402985074625</v>
      </c>
      <c r="P73" s="2">
        <v>9.1266430945072363E-2</v>
      </c>
      <c r="Q73" s="2">
        <v>0.11989903673176169</v>
      </c>
      <c r="R73" s="2">
        <v>1.208955223880597</v>
      </c>
      <c r="S73" s="2">
        <v>0.18438549113613861</v>
      </c>
      <c r="T73" s="2">
        <v>0.15251639390273189</v>
      </c>
      <c r="U73" s="2">
        <v>0.49806022095048491</v>
      </c>
      <c r="V73" t="s">
        <v>53</v>
      </c>
      <c r="W73" t="s">
        <v>102</v>
      </c>
      <c r="X73" t="s">
        <v>38</v>
      </c>
      <c r="Y73" t="s">
        <v>62</v>
      </c>
      <c r="Z73" t="s">
        <v>63</v>
      </c>
      <c r="AA73" s="3">
        <v>4</v>
      </c>
      <c r="AB73" s="3">
        <v>6</v>
      </c>
      <c r="AC73" s="2">
        <v>0.5075151564313054</v>
      </c>
      <c r="AD73" s="2">
        <v>0.89659605172983114</v>
      </c>
      <c r="AE73" s="2">
        <v>3.055424465257389</v>
      </c>
      <c r="AF73" s="2">
        <v>2.949773714796212</v>
      </c>
    </row>
    <row r="74" spans="1:32" x14ac:dyDescent="0.3">
      <c r="A74" s="13" t="s">
        <v>139</v>
      </c>
      <c r="B74">
        <v>95</v>
      </c>
      <c r="C74">
        <v>53</v>
      </c>
      <c r="D74">
        <v>68</v>
      </c>
      <c r="E74">
        <v>76</v>
      </c>
      <c r="F74">
        <v>85</v>
      </c>
      <c r="G74">
        <v>94</v>
      </c>
      <c r="H74">
        <v>103</v>
      </c>
      <c r="I74">
        <v>134</v>
      </c>
      <c r="J74">
        <v>89.5</v>
      </c>
      <c r="K74">
        <v>4.5</v>
      </c>
      <c r="L74" s="2">
        <v>0.82681564245810057</v>
      </c>
      <c r="M74" s="2">
        <v>0.2382911469673209</v>
      </c>
      <c r="N74" s="2">
        <v>0.28820348180507049</v>
      </c>
      <c r="O74" s="2">
        <v>0.8044692737430168</v>
      </c>
      <c r="P74" s="2">
        <v>6.0278484573768901E-2</v>
      </c>
      <c r="Q74" s="2">
        <v>7.4929505129893284E-2</v>
      </c>
      <c r="R74" s="2">
        <v>1.3240223463687151</v>
      </c>
      <c r="S74" s="2">
        <v>0.18553844311889811</v>
      </c>
      <c r="T74" s="2">
        <v>0.1401324106256657</v>
      </c>
      <c r="U74" s="2">
        <v>0.50326539756062949</v>
      </c>
      <c r="V74" t="s">
        <v>53</v>
      </c>
      <c r="W74" t="s">
        <v>102</v>
      </c>
      <c r="X74" t="s">
        <v>38</v>
      </c>
      <c r="Y74" t="s">
        <v>62</v>
      </c>
      <c r="Z74" t="s">
        <v>63</v>
      </c>
      <c r="AA74" s="3">
        <v>4</v>
      </c>
      <c r="AB74" s="3">
        <v>5</v>
      </c>
      <c r="AC74" s="2">
        <v>0.42541821792360501</v>
      </c>
      <c r="AD74" s="2">
        <v>0.42986980129614849</v>
      </c>
      <c r="AE74" s="2">
        <v>2.6108296449421422</v>
      </c>
      <c r="AF74" s="2">
        <v>2.6882035483772602</v>
      </c>
    </row>
    <row r="75" spans="1:32" x14ac:dyDescent="0.3">
      <c r="A75" s="13" t="s">
        <v>140</v>
      </c>
      <c r="B75">
        <v>1655</v>
      </c>
      <c r="C75">
        <v>1165</v>
      </c>
      <c r="D75">
        <v>1877</v>
      </c>
      <c r="E75">
        <v>1682</v>
      </c>
      <c r="F75">
        <v>1790</v>
      </c>
      <c r="G75">
        <v>1803</v>
      </c>
      <c r="H75">
        <v>2193</v>
      </c>
      <c r="I75">
        <v>2449</v>
      </c>
      <c r="J75">
        <v>1796.5</v>
      </c>
      <c r="K75">
        <v>6.5</v>
      </c>
      <c r="L75" s="2">
        <v>0.78485944892847204</v>
      </c>
      <c r="M75" s="2">
        <v>0.136405849654856</v>
      </c>
      <c r="N75" s="2">
        <v>0.1737965311382616</v>
      </c>
      <c r="O75" s="2">
        <v>0.99053715558029498</v>
      </c>
      <c r="P75" s="2">
        <v>5.4390400361425062E-2</v>
      </c>
      <c r="Q75" s="2">
        <v>5.4910005197696052E-2</v>
      </c>
      <c r="R75" s="2">
        <v>1.2919565822432511</v>
      </c>
      <c r="S75" s="2">
        <v>7.1402827416716316E-2</v>
      </c>
      <c r="T75" s="2">
        <v>5.5267203556282153E-2</v>
      </c>
      <c r="U75" s="2">
        <v>0.28397373989223967</v>
      </c>
      <c r="V75" t="s">
        <v>44</v>
      </c>
      <c r="W75" t="s">
        <v>51</v>
      </c>
      <c r="X75" t="s">
        <v>47</v>
      </c>
      <c r="Y75" t="s">
        <v>105</v>
      </c>
      <c r="Z75" t="s">
        <v>106</v>
      </c>
      <c r="AA75" s="3">
        <v>4</v>
      </c>
      <c r="AB75" s="3">
        <v>4</v>
      </c>
      <c r="AC75" s="2">
        <v>0.43484623511157622</v>
      </c>
      <c r="AD75" s="2">
        <v>0.41056898319244239</v>
      </c>
      <c r="AE75" s="2">
        <v>1.70653915974299</v>
      </c>
      <c r="AF75" s="2">
        <v>1.561228545840827</v>
      </c>
    </row>
    <row r="76" spans="1:32" x14ac:dyDescent="0.3">
      <c r="A76" s="13" t="s">
        <v>141</v>
      </c>
      <c r="B76">
        <v>3369</v>
      </c>
      <c r="C76">
        <v>2067</v>
      </c>
      <c r="D76">
        <v>3310</v>
      </c>
      <c r="E76">
        <v>2922</v>
      </c>
      <c r="F76">
        <v>3144</v>
      </c>
      <c r="G76">
        <v>3499</v>
      </c>
      <c r="H76">
        <v>5263</v>
      </c>
      <c r="I76">
        <v>4942</v>
      </c>
      <c r="J76">
        <v>3321.5</v>
      </c>
      <c r="K76">
        <v>177.5</v>
      </c>
      <c r="L76" s="2">
        <v>0.81830498268854435</v>
      </c>
      <c r="M76" s="2">
        <v>0.2008149871330642</v>
      </c>
      <c r="N76" s="2">
        <v>0.24540359814660509</v>
      </c>
      <c r="O76" s="2">
        <v>0.93813036278789708</v>
      </c>
      <c r="P76" s="2">
        <v>7.6972575765342E-2</v>
      </c>
      <c r="Q76" s="2">
        <v>8.2048912196592882E-2</v>
      </c>
      <c r="R76" s="2">
        <v>1.536203522504892</v>
      </c>
      <c r="S76" s="2">
        <v>9.5259859882536879E-2</v>
      </c>
      <c r="T76" s="2">
        <v>6.2009921528632293E-2</v>
      </c>
      <c r="U76" s="2">
        <v>0.38946243187183027</v>
      </c>
      <c r="V76" t="s">
        <v>31</v>
      </c>
      <c r="W76" t="s">
        <v>87</v>
      </c>
      <c r="X76" t="s">
        <v>61</v>
      </c>
      <c r="Y76" t="s">
        <v>74</v>
      </c>
      <c r="Z76" t="s">
        <v>75</v>
      </c>
      <c r="AA76" s="3">
        <v>2</v>
      </c>
      <c r="AB76" s="3">
        <v>2</v>
      </c>
      <c r="AC76" s="2">
        <v>0.41869324804593833</v>
      </c>
      <c r="AD76" s="2">
        <v>0.40948964990497028</v>
      </c>
      <c r="AE76" s="2">
        <v>0.56264336907998491</v>
      </c>
      <c r="AF76" s="2">
        <v>0.55765545627910174</v>
      </c>
    </row>
    <row r="77" spans="1:32" x14ac:dyDescent="0.3">
      <c r="A77" s="13" t="s">
        <v>142</v>
      </c>
      <c r="B77">
        <v>26</v>
      </c>
      <c r="C77">
        <v>26</v>
      </c>
      <c r="D77">
        <v>28</v>
      </c>
      <c r="E77">
        <v>27</v>
      </c>
      <c r="F77">
        <v>26</v>
      </c>
      <c r="G77">
        <v>31</v>
      </c>
      <c r="H77">
        <v>54</v>
      </c>
      <c r="I77">
        <v>33</v>
      </c>
      <c r="J77">
        <v>28.5</v>
      </c>
      <c r="K77">
        <v>2.5</v>
      </c>
      <c r="L77" s="2">
        <v>0.91228070175438591</v>
      </c>
      <c r="M77" s="2">
        <v>8.0024622960911035E-2</v>
      </c>
      <c r="N77" s="2">
        <v>8.771929824561403E-2</v>
      </c>
      <c r="O77" s="2">
        <v>0.96491228070175439</v>
      </c>
      <c r="P77" s="2">
        <v>8.6440490324658698E-2</v>
      </c>
      <c r="Q77" s="2">
        <v>8.9583780881919012E-2</v>
      </c>
      <c r="R77" s="2">
        <v>1.5263157894736841</v>
      </c>
      <c r="S77" s="2">
        <v>0.39199476335765071</v>
      </c>
      <c r="T77" s="2">
        <v>0.25682415530328828</v>
      </c>
      <c r="U77" s="2">
        <v>0.43412723443082141</v>
      </c>
      <c r="V77" t="s">
        <v>31</v>
      </c>
      <c r="W77" t="s">
        <v>37</v>
      </c>
      <c r="X77" t="s">
        <v>55</v>
      </c>
      <c r="Y77" t="s">
        <v>39</v>
      </c>
      <c r="Z77" t="s">
        <v>40</v>
      </c>
      <c r="AA77" s="3">
        <v>1</v>
      </c>
      <c r="AB77" s="3">
        <v>3</v>
      </c>
      <c r="AC77" s="2">
        <v>0.42281764655687343</v>
      </c>
      <c r="AD77" s="2">
        <v>0.45068354178934</v>
      </c>
      <c r="AE77" s="2">
        <v>1.2141823104349241</v>
      </c>
      <c r="AF77" s="2">
        <v>1.3404329741403229</v>
      </c>
    </row>
    <row r="78" spans="1:32" x14ac:dyDescent="0.3">
      <c r="A78" s="13" t="s">
        <v>143</v>
      </c>
      <c r="B78">
        <v>1621</v>
      </c>
      <c r="C78">
        <v>1166</v>
      </c>
      <c r="D78">
        <v>1656</v>
      </c>
      <c r="E78">
        <v>1453</v>
      </c>
      <c r="F78">
        <v>1515</v>
      </c>
      <c r="G78">
        <v>1711</v>
      </c>
      <c r="H78">
        <v>2841</v>
      </c>
      <c r="I78">
        <v>2633</v>
      </c>
      <c r="J78">
        <v>1613</v>
      </c>
      <c r="K78">
        <v>98</v>
      </c>
      <c r="L78" s="2">
        <v>0.86391816491010542</v>
      </c>
      <c r="M78" s="2">
        <v>0.15049172689953741</v>
      </c>
      <c r="N78" s="2">
        <v>0.1741967387792995</v>
      </c>
      <c r="O78" s="2">
        <v>0.96373217606943584</v>
      </c>
      <c r="P78" s="2">
        <v>8.5954327489529123E-2</v>
      </c>
      <c r="Q78" s="2">
        <v>8.9189019131946268E-2</v>
      </c>
      <c r="R78" s="2">
        <v>1.696838189708618</v>
      </c>
      <c r="S78" s="2">
        <v>0.1215955717872816</v>
      </c>
      <c r="T78" s="2">
        <v>7.1660086698167785E-2</v>
      </c>
      <c r="U78" s="2">
        <v>0.33504584460941361</v>
      </c>
      <c r="V78" t="s">
        <v>31</v>
      </c>
      <c r="W78" t="s">
        <v>37</v>
      </c>
      <c r="X78" t="s">
        <v>61</v>
      </c>
      <c r="Y78" t="s">
        <v>74</v>
      </c>
      <c r="Z78" t="s">
        <v>75</v>
      </c>
      <c r="AA78" s="3">
        <v>1</v>
      </c>
      <c r="AB78" s="3">
        <v>1</v>
      </c>
      <c r="AC78" s="2">
        <v>0.42281764655687343</v>
      </c>
      <c r="AD78" s="2">
        <v>0.38990460478097039</v>
      </c>
      <c r="AE78" s="2">
        <v>0.94554464904594393</v>
      </c>
      <c r="AF78" s="2">
        <v>0.78945225110571138</v>
      </c>
    </row>
    <row r="79" spans="1:32" x14ac:dyDescent="0.3">
      <c r="A79" s="13" t="s">
        <v>144</v>
      </c>
      <c r="B79">
        <v>42</v>
      </c>
      <c r="C79">
        <v>26</v>
      </c>
      <c r="D79">
        <v>42</v>
      </c>
      <c r="E79">
        <v>34</v>
      </c>
      <c r="F79">
        <v>40</v>
      </c>
      <c r="G79">
        <v>35</v>
      </c>
      <c r="H79">
        <v>54</v>
      </c>
      <c r="I79">
        <v>67</v>
      </c>
      <c r="J79">
        <v>37.5</v>
      </c>
      <c r="K79">
        <v>2.5</v>
      </c>
      <c r="L79" s="2">
        <v>0.90666666666666662</v>
      </c>
      <c r="M79" s="2">
        <v>0.22173101266017939</v>
      </c>
      <c r="N79" s="2">
        <v>0.24455626396343319</v>
      </c>
      <c r="O79" s="2">
        <v>1.013333333333333</v>
      </c>
      <c r="P79" s="2">
        <v>0.12625977532134899</v>
      </c>
      <c r="Q79" s="2">
        <v>0.1245984624881734</v>
      </c>
      <c r="R79" s="2">
        <v>1.6133333333333331</v>
      </c>
      <c r="S79" s="2">
        <v>0.2039917693812881</v>
      </c>
      <c r="T79" s="2">
        <v>0.126441179368567</v>
      </c>
      <c r="U79" s="2">
        <v>0.4955959058201736</v>
      </c>
      <c r="V79" t="s">
        <v>53</v>
      </c>
      <c r="W79" t="s">
        <v>37</v>
      </c>
      <c r="X79" t="s">
        <v>61</v>
      </c>
      <c r="Y79" t="s">
        <v>56</v>
      </c>
      <c r="Z79" t="s">
        <v>57</v>
      </c>
      <c r="AA79" s="3">
        <v>1</v>
      </c>
      <c r="AB79" s="3">
        <v>1</v>
      </c>
      <c r="AC79" s="2">
        <v>0.4151225420714893</v>
      </c>
      <c r="AD79" s="2">
        <v>0.43752664191414042</v>
      </c>
      <c r="AE79" s="2">
        <v>0.79628871081943298</v>
      </c>
      <c r="AF79" s="2">
        <v>1.1121869117981571</v>
      </c>
    </row>
    <row r="80" spans="1:32" x14ac:dyDescent="0.3">
      <c r="A80" s="13" t="s">
        <v>145</v>
      </c>
      <c r="B80">
        <v>79</v>
      </c>
      <c r="C80">
        <v>63</v>
      </c>
      <c r="D80">
        <v>82</v>
      </c>
      <c r="E80">
        <v>76</v>
      </c>
      <c r="F80">
        <v>78</v>
      </c>
      <c r="G80">
        <v>90</v>
      </c>
      <c r="H80">
        <v>75</v>
      </c>
      <c r="I80">
        <v>114</v>
      </c>
      <c r="J80">
        <v>84</v>
      </c>
      <c r="K80">
        <v>6</v>
      </c>
      <c r="L80" s="2">
        <v>0.84523809523809523</v>
      </c>
      <c r="M80" s="2">
        <v>0.1127622841722007</v>
      </c>
      <c r="N80" s="2">
        <v>0.13340889958401209</v>
      </c>
      <c r="O80" s="2">
        <v>0.94047619047619047</v>
      </c>
      <c r="P80" s="2">
        <v>7.6080497945369321E-2</v>
      </c>
      <c r="Q80" s="2">
        <v>8.0895719334316746E-2</v>
      </c>
      <c r="R80" s="2">
        <v>1.125</v>
      </c>
      <c r="S80" s="2">
        <v>0.2456574373606715</v>
      </c>
      <c r="T80" s="2">
        <v>0.21836216654281909</v>
      </c>
      <c r="U80" s="2">
        <v>0.43266678546114801</v>
      </c>
      <c r="V80" t="s">
        <v>31</v>
      </c>
      <c r="W80" t="s">
        <v>70</v>
      </c>
      <c r="X80" t="s">
        <v>33</v>
      </c>
      <c r="Y80" t="s">
        <v>74</v>
      </c>
      <c r="Z80" t="s">
        <v>75</v>
      </c>
      <c r="AA80" s="3">
        <v>4</v>
      </c>
      <c r="AB80" s="3">
        <v>6</v>
      </c>
      <c r="AC80" s="2">
        <v>0.82775120300633742</v>
      </c>
      <c r="AD80" s="2">
        <v>0.96916022595451101</v>
      </c>
      <c r="AE80" s="2">
        <v>1.617841377861946</v>
      </c>
      <c r="AF80" s="2">
        <v>1.2795309507754831</v>
      </c>
    </row>
    <row r="81" spans="1:32" x14ac:dyDescent="0.3">
      <c r="A81" s="13" t="s">
        <v>146</v>
      </c>
      <c r="B81">
        <v>1585</v>
      </c>
      <c r="C81">
        <v>1224</v>
      </c>
      <c r="D81">
        <v>1602</v>
      </c>
      <c r="E81">
        <v>1348</v>
      </c>
      <c r="F81">
        <v>1309</v>
      </c>
      <c r="G81">
        <v>1655</v>
      </c>
      <c r="H81">
        <v>2679</v>
      </c>
      <c r="I81">
        <v>2221</v>
      </c>
      <c r="J81">
        <v>1482</v>
      </c>
      <c r="K81">
        <v>173</v>
      </c>
      <c r="L81" s="2">
        <v>0.9477058029689609</v>
      </c>
      <c r="M81" s="2">
        <v>0.16453845955566329</v>
      </c>
      <c r="N81" s="2">
        <v>0.17361765543716129</v>
      </c>
      <c r="O81" s="2">
        <v>0.99527665317139002</v>
      </c>
      <c r="P81" s="2">
        <v>0.14436782736129539</v>
      </c>
      <c r="Q81" s="2">
        <v>0.1450529628131795</v>
      </c>
      <c r="R81" s="2">
        <v>1.653171390013495</v>
      </c>
      <c r="S81" s="2">
        <v>0.24722174442114889</v>
      </c>
      <c r="T81" s="2">
        <v>0.14954392866618069</v>
      </c>
      <c r="U81" s="2">
        <v>0.46821454691652142</v>
      </c>
      <c r="V81" t="s">
        <v>53</v>
      </c>
      <c r="W81" t="s">
        <v>37</v>
      </c>
      <c r="X81" t="s">
        <v>61</v>
      </c>
      <c r="Y81" t="s">
        <v>74</v>
      </c>
      <c r="Z81" t="s">
        <v>75</v>
      </c>
      <c r="AA81" s="3">
        <v>1</v>
      </c>
      <c r="AB81" s="3">
        <v>1</v>
      </c>
      <c r="AC81" s="2">
        <v>0.420146670544426</v>
      </c>
      <c r="AD81" s="2">
        <v>0.40945229288810131</v>
      </c>
      <c r="AE81" s="2">
        <v>0.76570961202278787</v>
      </c>
      <c r="AF81" s="2">
        <v>0.68077856711114482</v>
      </c>
    </row>
    <row r="82" spans="1:32" x14ac:dyDescent="0.3">
      <c r="A82" s="13" t="s">
        <v>147</v>
      </c>
      <c r="B82">
        <v>2214</v>
      </c>
      <c r="C82">
        <v>2104</v>
      </c>
      <c r="D82">
        <v>1864</v>
      </c>
      <c r="E82">
        <v>1901</v>
      </c>
      <c r="F82">
        <v>2161</v>
      </c>
      <c r="G82">
        <v>2024</v>
      </c>
      <c r="H82">
        <v>2306</v>
      </c>
      <c r="I82">
        <v>2915</v>
      </c>
      <c r="J82">
        <v>2092.5</v>
      </c>
      <c r="K82">
        <v>68.5</v>
      </c>
      <c r="L82" s="2">
        <v>1.0317801672640381</v>
      </c>
      <c r="M82" s="2">
        <v>4.2798440685798328E-2</v>
      </c>
      <c r="N82" s="2">
        <v>4.1480193207518758E-2</v>
      </c>
      <c r="O82" s="2">
        <v>0.89964157706093195</v>
      </c>
      <c r="P82" s="2">
        <v>3.0749061378014499E-2</v>
      </c>
      <c r="Q82" s="2">
        <v>3.4179235555641618E-2</v>
      </c>
      <c r="R82" s="2">
        <v>1.2475507765830349</v>
      </c>
      <c r="S82" s="2">
        <v>0.1511419006467036</v>
      </c>
      <c r="T82" s="2">
        <v>0.1211509010163675</v>
      </c>
      <c r="U82" s="2">
        <v>0.19681032977952789</v>
      </c>
      <c r="V82" t="s">
        <v>44</v>
      </c>
      <c r="W82" t="s">
        <v>32</v>
      </c>
      <c r="X82" t="s">
        <v>55</v>
      </c>
      <c r="Y82" t="s">
        <v>105</v>
      </c>
      <c r="Z82" t="s">
        <v>106</v>
      </c>
      <c r="AA82" s="3">
        <v>3</v>
      </c>
      <c r="AB82" s="3">
        <v>5</v>
      </c>
      <c r="AC82" s="2">
        <v>0.9446323451399985</v>
      </c>
      <c r="AD82" s="2">
        <v>0.83331136715200371</v>
      </c>
      <c r="AE82" s="2">
        <v>1.930019640643263</v>
      </c>
      <c r="AF82" s="2">
        <v>1.269763994861298</v>
      </c>
    </row>
    <row r="83" spans="1:32" x14ac:dyDescent="0.3">
      <c r="A83" s="13" t="s">
        <v>148</v>
      </c>
      <c r="B83">
        <v>4587</v>
      </c>
      <c r="C83">
        <v>3317</v>
      </c>
      <c r="D83">
        <v>4347</v>
      </c>
      <c r="E83">
        <v>4157</v>
      </c>
      <c r="F83">
        <v>4014</v>
      </c>
      <c r="G83">
        <v>4958</v>
      </c>
      <c r="H83">
        <v>7259</v>
      </c>
      <c r="I83">
        <v>7010</v>
      </c>
      <c r="J83">
        <v>4486</v>
      </c>
      <c r="K83">
        <v>472</v>
      </c>
      <c r="L83" s="2">
        <v>0.88096299598751671</v>
      </c>
      <c r="M83" s="2">
        <v>0.16919975979529911</v>
      </c>
      <c r="N83" s="2">
        <v>0.19206227794577721</v>
      </c>
      <c r="O83" s="2">
        <v>0.94783771734284439</v>
      </c>
      <c r="P83" s="2">
        <v>0.1019515624197143</v>
      </c>
      <c r="Q83" s="2">
        <v>0.1075622551775255</v>
      </c>
      <c r="R83" s="2">
        <v>1.5903923316986179</v>
      </c>
      <c r="S83" s="2">
        <v>0.1696209285400111</v>
      </c>
      <c r="T83" s="2">
        <v>0.10665351256997541</v>
      </c>
      <c r="U83" s="2">
        <v>0.40627804569327808</v>
      </c>
      <c r="V83" t="s">
        <v>31</v>
      </c>
      <c r="W83" t="s">
        <v>37</v>
      </c>
      <c r="X83" t="s">
        <v>61</v>
      </c>
      <c r="Y83" t="s">
        <v>62</v>
      </c>
      <c r="Z83" t="s">
        <v>63</v>
      </c>
      <c r="AA83" s="3">
        <v>1</v>
      </c>
      <c r="AB83" s="3">
        <v>1</v>
      </c>
      <c r="AC83" s="2">
        <v>0.41563038836170968</v>
      </c>
      <c r="AD83" s="2">
        <v>0.70176652563260655</v>
      </c>
      <c r="AE83" s="2">
        <v>0.87432132869692136</v>
      </c>
      <c r="AF83" s="2">
        <v>1.529701461540603</v>
      </c>
    </row>
    <row r="84" spans="1:32" x14ac:dyDescent="0.3">
      <c r="A84" s="13" t="s">
        <v>149</v>
      </c>
      <c r="B84">
        <v>521</v>
      </c>
      <c r="C84">
        <v>288</v>
      </c>
      <c r="D84">
        <v>414</v>
      </c>
      <c r="E84">
        <v>444</v>
      </c>
      <c r="F84">
        <v>449</v>
      </c>
      <c r="G84">
        <v>438</v>
      </c>
      <c r="H84">
        <v>692</v>
      </c>
      <c r="I84">
        <v>736</v>
      </c>
      <c r="J84">
        <v>443.5</v>
      </c>
      <c r="K84">
        <v>5.5</v>
      </c>
      <c r="L84" s="2">
        <v>0.91206313416009022</v>
      </c>
      <c r="M84" s="2">
        <v>0.2629266039904245</v>
      </c>
      <c r="N84" s="2">
        <v>0.28827675863968671</v>
      </c>
      <c r="O84" s="2">
        <v>0.96730552423900784</v>
      </c>
      <c r="P84" s="2">
        <v>3.5886216552959552E-2</v>
      </c>
      <c r="Q84" s="2">
        <v>3.7099153942278702E-2</v>
      </c>
      <c r="R84" s="2">
        <v>1.6099210822998871</v>
      </c>
      <c r="S84" s="2">
        <v>5.3472479265490057E-2</v>
      </c>
      <c r="T84" s="2">
        <v>3.3214348115188849E-2</v>
      </c>
      <c r="U84" s="2">
        <v>0.35859026069715422</v>
      </c>
      <c r="V84" t="s">
        <v>31</v>
      </c>
      <c r="W84" t="s">
        <v>37</v>
      </c>
      <c r="X84" t="s">
        <v>61</v>
      </c>
      <c r="Y84" t="s">
        <v>62</v>
      </c>
      <c r="Z84" t="s">
        <v>63</v>
      </c>
      <c r="AA84" s="3">
        <v>1</v>
      </c>
      <c r="AB84" s="3">
        <v>1</v>
      </c>
      <c r="AC84" s="2">
        <v>0.42281764655687343</v>
      </c>
      <c r="AD84" s="2">
        <v>0.43406751399719268</v>
      </c>
      <c r="AE84" s="2">
        <v>0.34641279365155192</v>
      </c>
      <c r="AF84" s="2">
        <v>0.9433018971773609</v>
      </c>
    </row>
    <row r="85" spans="1:32" x14ac:dyDescent="0.3">
      <c r="A85" s="13" t="s">
        <v>150</v>
      </c>
      <c r="B85">
        <v>533</v>
      </c>
      <c r="C85">
        <v>334</v>
      </c>
      <c r="D85">
        <v>625</v>
      </c>
      <c r="E85">
        <v>453</v>
      </c>
      <c r="F85">
        <v>487</v>
      </c>
      <c r="G85">
        <v>564</v>
      </c>
      <c r="H85">
        <v>1012</v>
      </c>
      <c r="I85">
        <v>848</v>
      </c>
      <c r="J85">
        <v>525.5</v>
      </c>
      <c r="K85">
        <v>38.5</v>
      </c>
      <c r="L85" s="2">
        <v>0.8249286393910561</v>
      </c>
      <c r="M85" s="2">
        <v>0.19875515186835799</v>
      </c>
      <c r="N85" s="2">
        <v>0.24093617602496459</v>
      </c>
      <c r="O85" s="2">
        <v>1.025689819219791</v>
      </c>
      <c r="P85" s="2">
        <v>0.18008163595823859</v>
      </c>
      <c r="Q85" s="2">
        <v>0.17557124247876499</v>
      </c>
      <c r="R85" s="2">
        <v>1.769743101807802</v>
      </c>
      <c r="S85" s="2">
        <v>0.20287971037192559</v>
      </c>
      <c r="T85" s="2">
        <v>0.11463794387144829</v>
      </c>
      <c r="U85" s="2">
        <v>0.53114536237517784</v>
      </c>
      <c r="V85" t="s">
        <v>53</v>
      </c>
      <c r="W85" t="s">
        <v>37</v>
      </c>
      <c r="X85" t="s">
        <v>66</v>
      </c>
      <c r="Y85" t="s">
        <v>56</v>
      </c>
      <c r="Z85" t="s">
        <v>57</v>
      </c>
      <c r="AA85" s="3">
        <v>1</v>
      </c>
      <c r="AB85" s="3">
        <v>1</v>
      </c>
      <c r="AC85" s="2">
        <v>0.43087044677924768</v>
      </c>
      <c r="AD85" s="2">
        <v>0.39816951778407289</v>
      </c>
      <c r="AE85" s="2">
        <v>1.836708970352767</v>
      </c>
      <c r="AF85" s="2">
        <v>2.1263329029169191</v>
      </c>
    </row>
    <row r="86" spans="1:32" x14ac:dyDescent="0.3">
      <c r="A86" s="13" t="s">
        <v>151</v>
      </c>
      <c r="B86">
        <v>2275</v>
      </c>
      <c r="C86">
        <v>1454</v>
      </c>
      <c r="D86">
        <v>1846</v>
      </c>
      <c r="E86">
        <v>1856</v>
      </c>
      <c r="F86">
        <v>1862</v>
      </c>
      <c r="G86">
        <v>1989</v>
      </c>
      <c r="H86">
        <v>2387</v>
      </c>
      <c r="I86">
        <v>3257</v>
      </c>
      <c r="J86">
        <v>1925.5</v>
      </c>
      <c r="K86">
        <v>63.5</v>
      </c>
      <c r="L86" s="2">
        <v>0.9683199169047001</v>
      </c>
      <c r="M86" s="2">
        <v>0.21556976689739349</v>
      </c>
      <c r="N86" s="2">
        <v>0.22262246509033581</v>
      </c>
      <c r="O86" s="2">
        <v>0.961308750973773</v>
      </c>
      <c r="P86" s="2">
        <v>3.1808640197674452E-2</v>
      </c>
      <c r="Q86" s="2">
        <v>3.3088890708061668E-2</v>
      </c>
      <c r="R86" s="2">
        <v>1.4655933523760061</v>
      </c>
      <c r="S86" s="2">
        <v>0.2310277517160722</v>
      </c>
      <c r="T86" s="2">
        <v>0.15763427920953119</v>
      </c>
      <c r="U86" s="2">
        <v>0.41334563500792859</v>
      </c>
      <c r="V86" t="s">
        <v>31</v>
      </c>
      <c r="W86" t="s">
        <v>37</v>
      </c>
      <c r="X86" t="s">
        <v>33</v>
      </c>
      <c r="Y86" t="s">
        <v>39</v>
      </c>
      <c r="Z86" t="s">
        <v>40</v>
      </c>
      <c r="AA86" s="3">
        <v>3</v>
      </c>
      <c r="AB86" s="3">
        <v>3</v>
      </c>
      <c r="AC86" s="2">
        <v>0.42337943724351002</v>
      </c>
      <c r="AD86" s="2">
        <v>0.42239642769103541</v>
      </c>
      <c r="AE86" s="2">
        <v>0.83766163384015202</v>
      </c>
      <c r="AF86" s="2">
        <v>0.33863601220821482</v>
      </c>
    </row>
    <row r="87" spans="1:32" x14ac:dyDescent="0.3">
      <c r="A87" s="13" t="s">
        <v>152</v>
      </c>
      <c r="B87">
        <v>133</v>
      </c>
      <c r="C87">
        <v>106</v>
      </c>
      <c r="D87">
        <v>141</v>
      </c>
      <c r="E87">
        <v>116</v>
      </c>
      <c r="F87">
        <v>130</v>
      </c>
      <c r="G87">
        <v>174</v>
      </c>
      <c r="H87">
        <v>220</v>
      </c>
      <c r="I87">
        <v>223</v>
      </c>
      <c r="J87">
        <v>152</v>
      </c>
      <c r="K87">
        <v>22</v>
      </c>
      <c r="L87" s="2">
        <v>0.78618421052631582</v>
      </c>
      <c r="M87" s="2">
        <v>0.14434807786339901</v>
      </c>
      <c r="N87" s="2">
        <v>0.18360592330741971</v>
      </c>
      <c r="O87" s="2">
        <v>0.84539473684210531</v>
      </c>
      <c r="P87" s="2">
        <v>0.1474273047249009</v>
      </c>
      <c r="Q87" s="2">
        <v>0.1743887184294548</v>
      </c>
      <c r="R87" s="2">
        <v>1.4572368421052631</v>
      </c>
      <c r="S87" s="2">
        <v>0.21114659645871051</v>
      </c>
      <c r="T87" s="2">
        <v>0.1448951813170383</v>
      </c>
      <c r="U87" s="2">
        <v>0.50288982305391272</v>
      </c>
      <c r="V87" t="s">
        <v>53</v>
      </c>
      <c r="W87" t="s">
        <v>87</v>
      </c>
      <c r="X87" t="s">
        <v>38</v>
      </c>
      <c r="Y87" t="s">
        <v>56</v>
      </c>
      <c r="Z87" t="s">
        <v>57</v>
      </c>
      <c r="AA87" s="3">
        <v>2</v>
      </c>
      <c r="AB87" s="3">
        <v>2</v>
      </c>
      <c r="AC87" s="2">
        <v>0.44014942758116632</v>
      </c>
      <c r="AD87" s="2">
        <v>0.41978084906632518</v>
      </c>
      <c r="AE87" s="2">
        <v>1.6893758734970841</v>
      </c>
      <c r="AF87" s="2">
        <v>2.422146391385116</v>
      </c>
    </row>
    <row r="88" spans="1:32" x14ac:dyDescent="0.3">
      <c r="A88" s="13" t="s">
        <v>153</v>
      </c>
      <c r="B88">
        <v>8000</v>
      </c>
      <c r="C88">
        <v>5302</v>
      </c>
      <c r="D88">
        <v>7655</v>
      </c>
      <c r="E88">
        <v>7425</v>
      </c>
      <c r="F88">
        <v>7362</v>
      </c>
      <c r="G88">
        <v>8496</v>
      </c>
      <c r="H88">
        <v>10846</v>
      </c>
      <c r="I88">
        <v>11475</v>
      </c>
      <c r="J88">
        <v>7929</v>
      </c>
      <c r="K88">
        <v>567</v>
      </c>
      <c r="L88" s="2">
        <v>0.83881952326901243</v>
      </c>
      <c r="M88" s="2">
        <v>0.18039939954340981</v>
      </c>
      <c r="N88" s="2">
        <v>0.21506342489545879</v>
      </c>
      <c r="O88" s="2">
        <v>0.95093958885105312</v>
      </c>
      <c r="P88" s="2">
        <v>6.9530872593674367E-2</v>
      </c>
      <c r="Q88" s="2">
        <v>7.3118075437035024E-2</v>
      </c>
      <c r="R88" s="2">
        <v>1.407554546601085</v>
      </c>
      <c r="S88" s="2">
        <v>0.10818709622194719</v>
      </c>
      <c r="T88" s="2">
        <v>7.6861743286037315E-2</v>
      </c>
      <c r="U88" s="2">
        <v>0.36504324361853108</v>
      </c>
      <c r="V88" t="s">
        <v>31</v>
      </c>
      <c r="W88" t="s">
        <v>37</v>
      </c>
      <c r="X88" t="s">
        <v>33</v>
      </c>
      <c r="Y88" t="s">
        <v>56</v>
      </c>
      <c r="Z88" t="s">
        <v>57</v>
      </c>
      <c r="AA88" s="3">
        <v>4</v>
      </c>
      <c r="AB88" s="3">
        <v>4</v>
      </c>
      <c r="AC88" s="2">
        <v>0.43978514859050732</v>
      </c>
      <c r="AD88" s="2">
        <v>0.45771478704030949</v>
      </c>
      <c r="AE88" s="2">
        <v>1.8225269711562719</v>
      </c>
      <c r="AF88" s="2">
        <v>1.2005285353513431</v>
      </c>
    </row>
    <row r="89" spans="1:32" x14ac:dyDescent="0.3">
      <c r="A89" s="13" t="s">
        <v>154</v>
      </c>
      <c r="B89">
        <v>161</v>
      </c>
      <c r="C89">
        <v>119</v>
      </c>
      <c r="D89">
        <v>138</v>
      </c>
      <c r="E89">
        <v>131</v>
      </c>
      <c r="F89">
        <v>134</v>
      </c>
      <c r="G89">
        <v>137</v>
      </c>
      <c r="H89">
        <v>174</v>
      </c>
      <c r="I89">
        <v>157</v>
      </c>
      <c r="J89">
        <v>135.5</v>
      </c>
      <c r="K89">
        <v>1.5</v>
      </c>
      <c r="L89" s="2">
        <v>1.033210332103321</v>
      </c>
      <c r="M89" s="2">
        <v>0.1554030339834887</v>
      </c>
      <c r="N89" s="2">
        <v>0.15040793646259079</v>
      </c>
      <c r="O89" s="2">
        <v>0.99261992619926198</v>
      </c>
      <c r="P89" s="2">
        <v>2.80704017165125E-2</v>
      </c>
      <c r="Q89" s="2">
        <v>2.827910358801073E-2</v>
      </c>
      <c r="R89" s="2">
        <v>1.2214022140221401</v>
      </c>
      <c r="S89" s="2">
        <v>6.4171259954131796E-2</v>
      </c>
      <c r="T89" s="2">
        <v>5.2539007394470441E-2</v>
      </c>
      <c r="U89" s="2">
        <v>0.231226047445072</v>
      </c>
      <c r="V89" t="s">
        <v>44</v>
      </c>
      <c r="W89" t="s">
        <v>32</v>
      </c>
      <c r="X89" t="s">
        <v>33</v>
      </c>
      <c r="Y89" t="s">
        <v>77</v>
      </c>
      <c r="Z89" t="s">
        <v>78</v>
      </c>
      <c r="AA89" s="3">
        <v>3</v>
      </c>
      <c r="AB89" s="3">
        <v>5</v>
      </c>
      <c r="AC89" s="2">
        <v>0.9446323451399985</v>
      </c>
      <c r="AD89" s="2">
        <v>0.59830198470896112</v>
      </c>
      <c r="AE89" s="2">
        <v>2.1520565542340542</v>
      </c>
      <c r="AF89" s="2">
        <v>2.0975180428405471</v>
      </c>
    </row>
    <row r="90" spans="1:32" x14ac:dyDescent="0.3">
      <c r="A90" s="13" t="s">
        <v>155</v>
      </c>
      <c r="B90">
        <v>316</v>
      </c>
      <c r="C90">
        <v>237</v>
      </c>
      <c r="D90">
        <v>335</v>
      </c>
      <c r="E90">
        <v>300</v>
      </c>
      <c r="F90">
        <v>331</v>
      </c>
      <c r="G90">
        <v>339</v>
      </c>
      <c r="H90">
        <v>517</v>
      </c>
      <c r="I90">
        <v>387</v>
      </c>
      <c r="J90">
        <v>335</v>
      </c>
      <c r="K90">
        <v>4</v>
      </c>
      <c r="L90" s="2">
        <v>0.82537313432835824</v>
      </c>
      <c r="M90" s="2">
        <v>0.1183215901258058</v>
      </c>
      <c r="N90" s="2">
        <v>0.14335527194265801</v>
      </c>
      <c r="O90" s="2">
        <v>0.94776119402985071</v>
      </c>
      <c r="P90" s="2">
        <v>5.3450511584406897E-2</v>
      </c>
      <c r="Q90" s="2">
        <v>5.6396602774098623E-2</v>
      </c>
      <c r="R90" s="2">
        <v>1.349253731343284</v>
      </c>
      <c r="S90" s="2">
        <v>0.19469753707542459</v>
      </c>
      <c r="T90" s="2">
        <v>0.14430016575280369</v>
      </c>
      <c r="U90" s="2">
        <v>0.34405204046956028</v>
      </c>
      <c r="V90" t="s">
        <v>31</v>
      </c>
      <c r="W90" t="s">
        <v>32</v>
      </c>
      <c r="X90" t="s">
        <v>33</v>
      </c>
      <c r="Y90" t="s">
        <v>84</v>
      </c>
      <c r="Z90" t="s">
        <v>85</v>
      </c>
      <c r="AA90" s="3">
        <v>4</v>
      </c>
      <c r="AB90" s="3">
        <v>4</v>
      </c>
      <c r="AC90" s="2">
        <v>0.44283453487114732</v>
      </c>
      <c r="AD90" s="2">
        <v>0.39512017124670962</v>
      </c>
      <c r="AE90" s="2">
        <v>1.1712311812097249</v>
      </c>
      <c r="AF90" s="2">
        <v>0.19579413621513311</v>
      </c>
    </row>
    <row r="91" spans="1:32" x14ac:dyDescent="0.3">
      <c r="A91" s="13" t="s">
        <v>156</v>
      </c>
      <c r="B91">
        <v>4024</v>
      </c>
      <c r="C91">
        <v>3452</v>
      </c>
      <c r="D91">
        <v>4478</v>
      </c>
      <c r="E91">
        <v>3629</v>
      </c>
      <c r="F91">
        <v>3597</v>
      </c>
      <c r="G91">
        <v>4722</v>
      </c>
      <c r="H91">
        <v>7248</v>
      </c>
      <c r="I91">
        <v>5920</v>
      </c>
      <c r="J91">
        <v>4159.5</v>
      </c>
      <c r="K91">
        <v>562.5</v>
      </c>
      <c r="L91" s="2">
        <v>0.89866570501262166</v>
      </c>
      <c r="M91" s="2">
        <v>0.13963155948753869</v>
      </c>
      <c r="N91" s="2">
        <v>0.15537653068175961</v>
      </c>
      <c r="O91" s="2">
        <v>0.97451616780863082</v>
      </c>
      <c r="P91" s="2">
        <v>0.16668225983429291</v>
      </c>
      <c r="Q91" s="2">
        <v>0.17104104102152251</v>
      </c>
      <c r="R91" s="2">
        <v>1.5828825579997601</v>
      </c>
      <c r="S91" s="2">
        <v>0.26702759095829381</v>
      </c>
      <c r="T91" s="2">
        <v>0.1686970328965709</v>
      </c>
      <c r="U91" s="2">
        <v>0.49511460459985301</v>
      </c>
      <c r="V91" t="s">
        <v>53</v>
      </c>
      <c r="W91" t="s">
        <v>37</v>
      </c>
      <c r="X91" t="s">
        <v>38</v>
      </c>
      <c r="Y91" t="s">
        <v>39</v>
      </c>
      <c r="Z91" t="s">
        <v>40</v>
      </c>
      <c r="AA91" s="3">
        <v>1</v>
      </c>
      <c r="AB91" s="3">
        <v>1</v>
      </c>
      <c r="AC91" s="2">
        <v>0.4151225420714893</v>
      </c>
      <c r="AD91" s="2">
        <v>0.43406751399719268</v>
      </c>
      <c r="AE91" s="2">
        <v>0.64253424926973068</v>
      </c>
      <c r="AF91" s="2">
        <v>1.401708783538212</v>
      </c>
    </row>
    <row r="92" spans="1:32" x14ac:dyDescent="0.3">
      <c r="A92" s="13" t="s">
        <v>157</v>
      </c>
      <c r="B92">
        <v>1025</v>
      </c>
      <c r="C92">
        <v>618</v>
      </c>
      <c r="D92">
        <v>1091</v>
      </c>
      <c r="E92">
        <v>964</v>
      </c>
      <c r="F92">
        <v>935</v>
      </c>
      <c r="G92">
        <v>1188</v>
      </c>
      <c r="H92">
        <v>1724</v>
      </c>
      <c r="I92">
        <v>1541</v>
      </c>
      <c r="J92">
        <v>1061.5</v>
      </c>
      <c r="K92">
        <v>126.5</v>
      </c>
      <c r="L92" s="2">
        <v>0.77390485162505884</v>
      </c>
      <c r="M92" s="2">
        <v>0.21274041598019849</v>
      </c>
      <c r="N92" s="2">
        <v>0.27489221127569158</v>
      </c>
      <c r="O92" s="2">
        <v>0.96796985398021662</v>
      </c>
      <c r="P92" s="2">
        <v>0.12994260254389689</v>
      </c>
      <c r="Q92" s="2">
        <v>0.134242406423695</v>
      </c>
      <c r="R92" s="2">
        <v>1.5379180405087141</v>
      </c>
      <c r="S92" s="2">
        <v>0.20253402264941159</v>
      </c>
      <c r="T92" s="2">
        <v>0.13169363861705999</v>
      </c>
      <c r="U92" s="2">
        <v>0.5408282563164466</v>
      </c>
      <c r="V92" t="s">
        <v>53</v>
      </c>
      <c r="W92" t="s">
        <v>87</v>
      </c>
      <c r="X92" t="s">
        <v>33</v>
      </c>
      <c r="Y92" t="s">
        <v>74</v>
      </c>
      <c r="Z92" t="s">
        <v>75</v>
      </c>
      <c r="AA92" s="3">
        <v>2</v>
      </c>
      <c r="AB92" s="3">
        <v>2</v>
      </c>
      <c r="AC92" s="2">
        <v>0.42090923157058369</v>
      </c>
      <c r="AD92" s="2">
        <v>0.40948964990497028</v>
      </c>
      <c r="AE92" s="2">
        <v>1.0150979390118231</v>
      </c>
      <c r="AF92" s="2">
        <v>1.136999661379372</v>
      </c>
    </row>
    <row r="94" spans="1:32" x14ac:dyDescent="0.3">
      <c r="AC94" s="2">
        <f>AVERAGE(AC2:AC92)</f>
        <v>0.61029503528222206</v>
      </c>
      <c r="AD94" s="2">
        <f>AVERAGE(AD2:AD92)</f>
        <v>0.65303331355185323</v>
      </c>
      <c r="AE94" s="2">
        <f>AVERAGE(AE2:AE92)</f>
        <v>1.4878593317566833</v>
      </c>
      <c r="AF94" s="2">
        <f>AVERAGE(AF2:AF92)</f>
        <v>1.4764166835001746</v>
      </c>
    </row>
  </sheetData>
  <autoFilter ref="A1:AF92" xr:uid="{00000000-0001-0000-0000-000000000000}"/>
  <conditionalFormatting sqref="AA2:AA9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B9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9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:AD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:AF92">
    <cfRule type="colorScale" priority="4">
      <colorScale>
        <cfvo type="min"/>
        <cfvo type="percentile" val="50"/>
        <cfvo type="max"/>
        <color rgb="FF00B050"/>
        <color rgb="FFFFEB84"/>
        <color rgb="FFFF0000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7F64-68EC-4883-803E-A622D9377971}">
  <dimension ref="A1:I7"/>
  <sheetViews>
    <sheetView tabSelected="1" workbookViewId="0">
      <selection activeCell="B14" sqref="B14"/>
    </sheetView>
  </sheetViews>
  <sheetFormatPr defaultRowHeight="13.8" x14ac:dyDescent="0.3"/>
  <cols>
    <col min="1" max="1" width="8.88671875" style="5"/>
    <col min="2" max="2" width="41.5546875" style="4" customWidth="1"/>
    <col min="3" max="3" width="10.33203125" style="4" customWidth="1"/>
    <col min="4" max="4" width="10.88671875" style="4" customWidth="1"/>
    <col min="5" max="5" width="10.77734375" style="4" customWidth="1"/>
    <col min="6" max="6" width="45.33203125" style="4" customWidth="1"/>
    <col min="7" max="7" width="43.5546875" style="4" customWidth="1"/>
    <col min="8" max="8" width="6.21875" style="4" customWidth="1"/>
    <col min="9" max="16384" width="8.88671875" style="4"/>
  </cols>
  <sheetData>
    <row r="1" spans="1:9" s="9" customFormat="1" x14ac:dyDescent="0.3">
      <c r="A1" s="14" t="s">
        <v>191</v>
      </c>
      <c r="B1" s="10" t="s">
        <v>190</v>
      </c>
      <c r="C1" s="10" t="s">
        <v>189</v>
      </c>
      <c r="D1" s="10" t="s">
        <v>188</v>
      </c>
      <c r="E1" s="10" t="s">
        <v>187</v>
      </c>
      <c r="F1" s="11" t="s">
        <v>186</v>
      </c>
      <c r="G1" s="11" t="s">
        <v>185</v>
      </c>
      <c r="H1" s="10" t="s">
        <v>184</v>
      </c>
      <c r="I1" s="10" t="s">
        <v>183</v>
      </c>
    </row>
    <row r="2" spans="1:9" x14ac:dyDescent="0.3">
      <c r="A2" s="15">
        <v>1</v>
      </c>
      <c r="B2" s="8" t="s">
        <v>182</v>
      </c>
      <c r="C2" s="7">
        <v>0.90582042424670584</v>
      </c>
      <c r="D2" s="7">
        <v>0.98371349316099399</v>
      </c>
      <c r="E2" s="7">
        <v>1.666410436720037</v>
      </c>
      <c r="F2" s="6" t="s">
        <v>181</v>
      </c>
      <c r="G2" s="6" t="s">
        <v>180</v>
      </c>
      <c r="H2" s="4">
        <v>17</v>
      </c>
      <c r="I2" s="4" t="s">
        <v>179</v>
      </c>
    </row>
    <row r="3" spans="1:9" x14ac:dyDescent="0.3">
      <c r="A3" s="15">
        <v>2</v>
      </c>
      <c r="B3" s="8" t="s">
        <v>178</v>
      </c>
      <c r="C3" s="7">
        <v>0.7923064355813485</v>
      </c>
      <c r="D3" s="7">
        <v>0.9289003284056726</v>
      </c>
      <c r="E3" s="7">
        <v>1.5654911169328951</v>
      </c>
      <c r="F3" s="6" t="s">
        <v>177</v>
      </c>
      <c r="G3" s="6" t="s">
        <v>176</v>
      </c>
      <c r="H3" s="4">
        <v>18</v>
      </c>
      <c r="I3" s="4" t="s">
        <v>175</v>
      </c>
    </row>
    <row r="4" spans="1:9" x14ac:dyDescent="0.3">
      <c r="A4" s="15">
        <v>3</v>
      </c>
      <c r="B4" s="8" t="s">
        <v>174</v>
      </c>
      <c r="C4" s="7">
        <v>0.98207395018083909</v>
      </c>
      <c r="D4" s="7">
        <v>0.97543209571909839</v>
      </c>
      <c r="E4" s="7">
        <v>1.4596749802680029</v>
      </c>
      <c r="F4" s="6" t="s">
        <v>173</v>
      </c>
      <c r="G4" s="6" t="s">
        <v>172</v>
      </c>
      <c r="H4" s="4">
        <v>13</v>
      </c>
      <c r="I4" s="4" t="s">
        <v>171</v>
      </c>
    </row>
    <row r="5" spans="1:9" x14ac:dyDescent="0.3">
      <c r="A5" s="15">
        <v>4</v>
      </c>
      <c r="B5" s="8" t="s">
        <v>170</v>
      </c>
      <c r="C5" s="7">
        <v>0.8196780983471218</v>
      </c>
      <c r="D5" s="7">
        <v>0.9516461355931437</v>
      </c>
      <c r="E5" s="7">
        <v>1.343120356790126</v>
      </c>
      <c r="F5" s="6" t="s">
        <v>169</v>
      </c>
      <c r="G5" s="6" t="s">
        <v>168</v>
      </c>
      <c r="H5" s="4">
        <v>17</v>
      </c>
      <c r="I5" s="4" t="s">
        <v>167</v>
      </c>
    </row>
    <row r="6" spans="1:9" x14ac:dyDescent="0.3">
      <c r="A6" s="15">
        <v>5</v>
      </c>
      <c r="B6" s="8" t="s">
        <v>166</v>
      </c>
      <c r="C6" s="7">
        <v>0.95652186283839535</v>
      </c>
      <c r="D6" s="7">
        <v>0.90303390290002661</v>
      </c>
      <c r="E6" s="7">
        <v>1.2642620411675121</v>
      </c>
      <c r="F6" s="6" t="s">
        <v>165</v>
      </c>
      <c r="G6" s="6" t="s">
        <v>164</v>
      </c>
      <c r="H6" s="4">
        <v>9</v>
      </c>
      <c r="I6" s="4" t="s">
        <v>163</v>
      </c>
    </row>
    <row r="7" spans="1:9" x14ac:dyDescent="0.3">
      <c r="A7" s="15">
        <v>6</v>
      </c>
      <c r="B7" s="8" t="s">
        <v>162</v>
      </c>
      <c r="C7" s="7">
        <v>0.83038774198955834</v>
      </c>
      <c r="D7" s="7">
        <v>0.8966426283751997</v>
      </c>
      <c r="E7" s="7">
        <v>1.1798025727991559</v>
      </c>
      <c r="F7" s="6" t="s">
        <v>161</v>
      </c>
      <c r="G7" s="6" t="s">
        <v>35</v>
      </c>
      <c r="H7" s="4">
        <v>17</v>
      </c>
      <c r="I7" s="4" t="s">
        <v>160</v>
      </c>
    </row>
  </sheetData>
  <conditionalFormatting sqref="C2:E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2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Stability</vt:lpstr>
      <vt:lpstr>GMM-6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Gabor Istvan Csonka</cp:lastModifiedBy>
  <dcterms:created xsi:type="dcterms:W3CDTF">2025-10-31T10:26:49Z</dcterms:created>
  <dcterms:modified xsi:type="dcterms:W3CDTF">2026-02-02T11:38:43Z</dcterms:modified>
</cp:coreProperties>
</file>